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테이블 명세서\"/>
    </mc:Choice>
  </mc:AlternateContent>
  <xr:revisionPtr revIDLastSave="0" documentId="13_ncr:1_{3A9CC2A9-35A3-4F29-89C4-A2FE4B573E49}" xr6:coauthVersionLast="47" xr6:coauthVersionMax="47" xr10:uidLastSave="{00000000-0000-0000-0000-000000000000}"/>
  <bookViews>
    <workbookView xWindow="-108" yWindow="-108" windowWidth="23256" windowHeight="12576" tabRatio="722" activeTab="1" xr2:uid="{C65CB968-5333-48BF-B9BC-AA4409770CFC}"/>
  </bookViews>
  <sheets>
    <sheet name="개정이력" sheetId="7" r:id="rId1"/>
    <sheet name="테이블 정의_공통" sheetId="4" r:id="rId2"/>
    <sheet name="테이블 정의_비즈니스" sheetId="9" r:id="rId3"/>
    <sheet name="이행 데이터_공통" sheetId="2" r:id="rId4"/>
    <sheet name="이행 데이터_상품" sheetId="8" r:id="rId5"/>
    <sheet name="이행 데이터_주문" sheetId="10" r:id="rId6"/>
    <sheet name="이행 데이터_메뉴" sheetId="5" r:id="rId7"/>
    <sheet name="용어 사전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7" i="5" l="1"/>
  <c r="AA16" i="5"/>
  <c r="W425" i="10"/>
  <c r="W421" i="10"/>
  <c r="W417" i="10"/>
  <c r="W413" i="10"/>
  <c r="W409" i="10"/>
  <c r="W405" i="10"/>
  <c r="W393" i="10"/>
  <c r="W389" i="10"/>
  <c r="W385" i="10"/>
  <c r="W381" i="10"/>
  <c r="W377" i="10"/>
  <c r="W373" i="10"/>
  <c r="W361" i="10"/>
  <c r="W357" i="10"/>
  <c r="W353" i="10"/>
  <c r="W349" i="10"/>
  <c r="W345" i="10"/>
  <c r="W341" i="10"/>
  <c r="W329" i="10"/>
  <c r="W325" i="10"/>
  <c r="W321" i="10"/>
  <c r="W317" i="10"/>
  <c r="W313" i="10"/>
  <c r="W309" i="10"/>
  <c r="W297" i="10"/>
  <c r="W293" i="10"/>
  <c r="W289" i="10"/>
  <c r="W285" i="10"/>
  <c r="W281" i="10"/>
  <c r="W277" i="10"/>
  <c r="W265" i="10"/>
  <c r="W261" i="10"/>
  <c r="W257" i="10"/>
  <c r="W253" i="10"/>
  <c r="W249" i="10"/>
  <c r="W245" i="10"/>
  <c r="W233" i="10"/>
  <c r="W229" i="10"/>
  <c r="W225" i="10"/>
  <c r="W221" i="10"/>
  <c r="W217" i="10"/>
  <c r="W213" i="10"/>
  <c r="W201" i="10"/>
  <c r="W197" i="10"/>
  <c r="W193" i="10"/>
  <c r="W189" i="10"/>
  <c r="W185" i="10"/>
  <c r="W181" i="10"/>
  <c r="W173" i="10"/>
  <c r="W165" i="10"/>
  <c r="W161" i="10"/>
  <c r="W157" i="10"/>
  <c r="W153" i="10"/>
  <c r="W149" i="10"/>
  <c r="W145" i="10"/>
  <c r="W133" i="10"/>
  <c r="W129" i="10"/>
  <c r="W125" i="10"/>
  <c r="W117" i="10"/>
  <c r="W113" i="10"/>
  <c r="W109" i="10"/>
  <c r="W97" i="10"/>
  <c r="W93" i="10"/>
  <c r="W89" i="10"/>
  <c r="W85" i="10"/>
  <c r="W81" i="10"/>
  <c r="W77" i="10"/>
  <c r="W73" i="10"/>
  <c r="W61" i="10"/>
  <c r="W57" i="10"/>
  <c r="W53" i="10"/>
  <c r="W45" i="10"/>
  <c r="W41" i="10"/>
  <c r="W37" i="10"/>
  <c r="W25" i="10"/>
  <c r="W21" i="10"/>
  <c r="W17" i="10"/>
  <c r="W13" i="10"/>
  <c r="W9" i="10"/>
  <c r="W5" i="10"/>
  <c r="W429" i="10"/>
  <c r="W401" i="10"/>
  <c r="W397" i="10"/>
  <c r="W369" i="10"/>
  <c r="W365" i="10"/>
  <c r="W337" i="10"/>
  <c r="W333" i="10"/>
  <c r="W305" i="10"/>
  <c r="W301" i="10"/>
  <c r="W273" i="10"/>
  <c r="W269" i="10"/>
  <c r="W241" i="10"/>
  <c r="W237" i="10"/>
  <c r="W209" i="10"/>
  <c r="W205" i="10"/>
  <c r="W177" i="10"/>
  <c r="W169" i="10"/>
  <c r="W141" i="10"/>
  <c r="W137" i="10"/>
  <c r="W105" i="10"/>
  <c r="W101" i="10"/>
  <c r="W69" i="10"/>
  <c r="W65" i="10"/>
  <c r="W33" i="10"/>
  <c r="W29" i="10"/>
  <c r="J11" i="4"/>
  <c r="J10" i="4"/>
  <c r="AA15" i="5"/>
  <c r="AA11" i="5"/>
  <c r="AA12" i="5"/>
  <c r="AA21" i="5"/>
  <c r="AA113" i="2"/>
  <c r="AA10" i="5"/>
  <c r="AA76" i="2"/>
  <c r="AA14" i="5"/>
  <c r="W432" i="10"/>
  <c r="W431" i="10"/>
  <c r="W430" i="10"/>
  <c r="W428" i="10"/>
  <c r="W427" i="10"/>
  <c r="W426" i="10"/>
  <c r="W424" i="10"/>
  <c r="W423" i="10"/>
  <c r="W422" i="10"/>
  <c r="W420" i="10"/>
  <c r="W419" i="10"/>
  <c r="W418" i="10"/>
  <c r="W416" i="10"/>
  <c r="W415" i="10"/>
  <c r="W414" i="10"/>
  <c r="W412" i="10"/>
  <c r="W411" i="10"/>
  <c r="W410" i="10"/>
  <c r="W408" i="10"/>
  <c r="W407" i="10"/>
  <c r="W406" i="10"/>
  <c r="W404" i="10"/>
  <c r="W403" i="10"/>
  <c r="W402" i="10"/>
  <c r="W400" i="10"/>
  <c r="W399" i="10"/>
  <c r="W398" i="10"/>
  <c r="W396" i="10"/>
  <c r="W395" i="10"/>
  <c r="W394" i="10"/>
  <c r="W392" i="10"/>
  <c r="W391" i="10"/>
  <c r="W390" i="10"/>
  <c r="W388" i="10"/>
  <c r="W387" i="10"/>
  <c r="W386" i="10"/>
  <c r="W384" i="10"/>
  <c r="W383" i="10"/>
  <c r="W382" i="10"/>
  <c r="W380" i="10"/>
  <c r="W379" i="10"/>
  <c r="W378" i="10"/>
  <c r="W376" i="10"/>
  <c r="W375" i="10"/>
  <c r="W374" i="10"/>
  <c r="W372" i="10"/>
  <c r="W371" i="10"/>
  <c r="W370" i="10"/>
  <c r="W368" i="10"/>
  <c r="W367" i="10"/>
  <c r="W366" i="10"/>
  <c r="W364" i="10"/>
  <c r="W363" i="10"/>
  <c r="W362" i="10"/>
  <c r="W360" i="10"/>
  <c r="W359" i="10"/>
  <c r="W358" i="10"/>
  <c r="W356" i="10"/>
  <c r="W355" i="10"/>
  <c r="W354" i="10"/>
  <c r="W352" i="10"/>
  <c r="W351" i="10"/>
  <c r="W350" i="10"/>
  <c r="W348" i="10"/>
  <c r="W347" i="10"/>
  <c r="W346" i="10"/>
  <c r="W344" i="10"/>
  <c r="W343" i="10"/>
  <c r="W342" i="10"/>
  <c r="W340" i="10"/>
  <c r="W339" i="10"/>
  <c r="W338" i="10"/>
  <c r="W336" i="10"/>
  <c r="W335" i="10"/>
  <c r="W334" i="10"/>
  <c r="W332" i="10"/>
  <c r="W331" i="10"/>
  <c r="W330" i="10"/>
  <c r="W328" i="10"/>
  <c r="W327" i="10"/>
  <c r="W326" i="10"/>
  <c r="W324" i="10"/>
  <c r="W323" i="10"/>
  <c r="W322" i="10"/>
  <c r="W320" i="10"/>
  <c r="W319" i="10"/>
  <c r="W318" i="10"/>
  <c r="W316" i="10"/>
  <c r="W315" i="10"/>
  <c r="W314" i="10"/>
  <c r="W312" i="10"/>
  <c r="W311" i="10"/>
  <c r="W310" i="10"/>
  <c r="W308" i="10"/>
  <c r="W307" i="10"/>
  <c r="W306" i="10"/>
  <c r="W304" i="10"/>
  <c r="W303" i="10"/>
  <c r="W302" i="10"/>
  <c r="W300" i="10"/>
  <c r="W299" i="10"/>
  <c r="W298" i="10"/>
  <c r="W296" i="10"/>
  <c r="W295" i="10"/>
  <c r="W294" i="10"/>
  <c r="W292" i="10"/>
  <c r="W291" i="10"/>
  <c r="W290" i="10"/>
  <c r="W288" i="10"/>
  <c r="W287" i="10"/>
  <c r="W286" i="10"/>
  <c r="W284" i="10"/>
  <c r="W283" i="10"/>
  <c r="W282" i="10"/>
  <c r="W280" i="10"/>
  <c r="W279" i="10"/>
  <c r="W278" i="10"/>
  <c r="W276" i="10"/>
  <c r="W275" i="10"/>
  <c r="W274" i="10"/>
  <c r="W272" i="10"/>
  <c r="W271" i="10"/>
  <c r="W270" i="10"/>
  <c r="W268" i="10"/>
  <c r="W267" i="10"/>
  <c r="W266" i="10"/>
  <c r="W264" i="10"/>
  <c r="W263" i="10"/>
  <c r="W262" i="10"/>
  <c r="W260" i="10"/>
  <c r="W259" i="10"/>
  <c r="W258" i="10"/>
  <c r="W256" i="10"/>
  <c r="W255" i="10"/>
  <c r="W254" i="10"/>
  <c r="W252" i="10"/>
  <c r="W251" i="10"/>
  <c r="W250" i="10"/>
  <c r="W248" i="10"/>
  <c r="W247" i="10"/>
  <c r="W246" i="10"/>
  <c r="W244" i="10"/>
  <c r="W243" i="10"/>
  <c r="W242" i="10"/>
  <c r="W240" i="10"/>
  <c r="W239" i="10"/>
  <c r="W238" i="10"/>
  <c r="W236" i="10"/>
  <c r="W235" i="10"/>
  <c r="W234" i="10"/>
  <c r="W232" i="10"/>
  <c r="W231" i="10"/>
  <c r="W230" i="10"/>
  <c r="W228" i="10"/>
  <c r="W227" i="10"/>
  <c r="W226" i="10"/>
  <c r="W224" i="10"/>
  <c r="W223" i="10"/>
  <c r="W222" i="10"/>
  <c r="W220" i="10"/>
  <c r="W219" i="10"/>
  <c r="W218" i="10"/>
  <c r="W216" i="10"/>
  <c r="W215" i="10"/>
  <c r="W214" i="10"/>
  <c r="W212" i="10"/>
  <c r="W211" i="10"/>
  <c r="W210" i="10"/>
  <c r="W208" i="10"/>
  <c r="W207" i="10"/>
  <c r="W206" i="10"/>
  <c r="W204" i="10"/>
  <c r="W203" i="10"/>
  <c r="W202" i="10"/>
  <c r="W200" i="10"/>
  <c r="W199" i="10"/>
  <c r="W198" i="10"/>
  <c r="W196" i="10"/>
  <c r="W195" i="10"/>
  <c r="W194" i="10"/>
  <c r="W192" i="10"/>
  <c r="W191" i="10"/>
  <c r="W190" i="10"/>
  <c r="W188" i="10"/>
  <c r="W187" i="10"/>
  <c r="W186" i="10"/>
  <c r="W184" i="10"/>
  <c r="W183" i="10"/>
  <c r="W182" i="10"/>
  <c r="W180" i="10"/>
  <c r="W179" i="10"/>
  <c r="W164" i="10"/>
  <c r="W156" i="10"/>
  <c r="W148" i="10"/>
  <c r="W140" i="10"/>
  <c r="W132" i="10"/>
  <c r="W116" i="10"/>
  <c r="W114" i="10"/>
  <c r="W106" i="10"/>
  <c r="W100" i="10"/>
  <c r="W98" i="10"/>
  <c r="W92" i="10"/>
  <c r="W90" i="10"/>
  <c r="W84" i="10"/>
  <c r="W82" i="10"/>
  <c r="W76" i="10"/>
  <c r="W74" i="10"/>
  <c r="W68" i="10"/>
  <c r="W66" i="10"/>
  <c r="W58" i="10"/>
  <c r="W51" i="10"/>
  <c r="W42" i="10"/>
  <c r="W36" i="10"/>
  <c r="W34" i="10"/>
  <c r="W30" i="10"/>
  <c r="W28" i="10"/>
  <c r="W26" i="10"/>
  <c r="W20" i="10"/>
  <c r="W18" i="10"/>
  <c r="W12" i="10"/>
  <c r="W10" i="10"/>
  <c r="W171" i="10"/>
  <c r="W163" i="10"/>
  <c r="W155" i="10"/>
  <c r="W147" i="10"/>
  <c r="W139" i="10"/>
  <c r="W131" i="10"/>
  <c r="W123" i="10"/>
  <c r="W115" i="10"/>
  <c r="W107" i="10"/>
  <c r="W99" i="10"/>
  <c r="W91" i="10"/>
  <c r="W83" i="10"/>
  <c r="W75" i="10"/>
  <c r="W67" i="10"/>
  <c r="W59" i="10"/>
  <c r="W43" i="10"/>
  <c r="W35" i="10"/>
  <c r="W27" i="10"/>
  <c r="W19" i="10"/>
  <c r="W11" i="10"/>
  <c r="AA108" i="2"/>
  <c r="AA107" i="2"/>
  <c r="AA106" i="2"/>
  <c r="AA105" i="2"/>
  <c r="W178" i="10"/>
  <c r="W176" i="10"/>
  <c r="W175" i="10"/>
  <c r="W174" i="10"/>
  <c r="W172" i="10"/>
  <c r="W170" i="10"/>
  <c r="W168" i="10"/>
  <c r="W167" i="10"/>
  <c r="W166" i="10"/>
  <c r="W162" i="10"/>
  <c r="W160" i="10"/>
  <c r="W159" i="10"/>
  <c r="W158" i="10"/>
  <c r="W154" i="10"/>
  <c r="W152" i="10"/>
  <c r="W151" i="10"/>
  <c r="W150" i="10"/>
  <c r="W146" i="10"/>
  <c r="W144" i="10"/>
  <c r="W143" i="10"/>
  <c r="W142" i="10"/>
  <c r="W138" i="10"/>
  <c r="W136" i="10"/>
  <c r="W135" i="10"/>
  <c r="W134" i="10"/>
  <c r="W130" i="10"/>
  <c r="W128" i="10"/>
  <c r="W127" i="10"/>
  <c r="W126" i="10"/>
  <c r="W124" i="10"/>
  <c r="W122" i="10"/>
  <c r="W121" i="10"/>
  <c r="W120" i="10"/>
  <c r="W119" i="10"/>
  <c r="W118" i="10"/>
  <c r="W112" i="10"/>
  <c r="W111" i="10"/>
  <c r="W110" i="10"/>
  <c r="W108" i="10"/>
  <c r="W104" i="10"/>
  <c r="W103" i="10"/>
  <c r="W102" i="10"/>
  <c r="W96" i="10"/>
  <c r="W95" i="10"/>
  <c r="W94" i="10"/>
  <c r="W88" i="10"/>
  <c r="W87" i="10"/>
  <c r="W86" i="10"/>
  <c r="W80" i="10"/>
  <c r="W79" i="10"/>
  <c r="W78" i="10"/>
  <c r="W72" i="10"/>
  <c r="W71" i="10"/>
  <c r="W70" i="10"/>
  <c r="W64" i="10"/>
  <c r="W63" i="10"/>
  <c r="W62" i="10"/>
  <c r="W60" i="10"/>
  <c r="W56" i="10"/>
  <c r="W55" i="10"/>
  <c r="W54" i="10"/>
  <c r="W52" i="10"/>
  <c r="W50" i="10"/>
  <c r="W49" i="10"/>
  <c r="W48" i="10"/>
  <c r="W47" i="10"/>
  <c r="W46" i="10"/>
  <c r="W44" i="10"/>
  <c r="W40" i="10"/>
  <c r="W39" i="10"/>
  <c r="W38" i="10"/>
  <c r="W32" i="10"/>
  <c r="W31" i="10"/>
  <c r="W24" i="10"/>
  <c r="W23" i="10"/>
  <c r="W22" i="10"/>
  <c r="W16" i="10"/>
  <c r="W15" i="10"/>
  <c r="W14" i="10"/>
  <c r="W8" i="10"/>
  <c r="W7" i="10"/>
  <c r="W6" i="10"/>
  <c r="W4" i="10"/>
  <c r="W3" i="10"/>
  <c r="AA72" i="2" l="1"/>
  <c r="AA27" i="5"/>
  <c r="J61" i="9"/>
  <c r="J64" i="9"/>
  <c r="J60" i="9"/>
  <c r="J72" i="9"/>
  <c r="J71" i="9"/>
  <c r="J70" i="9"/>
  <c r="J69" i="9"/>
  <c r="J68" i="9"/>
  <c r="J67" i="9"/>
  <c r="J66" i="9"/>
  <c r="J65" i="9"/>
  <c r="J63" i="9"/>
  <c r="J62" i="9"/>
  <c r="J59" i="9"/>
  <c r="J58" i="9"/>
  <c r="J57" i="9"/>
  <c r="J56" i="9"/>
  <c r="J55" i="9"/>
  <c r="AA3" i="5"/>
  <c r="AA9" i="5"/>
  <c r="F35" i="9"/>
  <c r="J35" i="9" s="1"/>
  <c r="F34" i="9"/>
  <c r="C35" i="9"/>
  <c r="C34" i="9"/>
  <c r="J33" i="9" s="1"/>
  <c r="J36" i="9"/>
  <c r="J3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AA8" i="5"/>
  <c r="J32" i="9"/>
  <c r="J31" i="9"/>
  <c r="J30" i="9"/>
  <c r="J29" i="9"/>
  <c r="J28" i="9"/>
  <c r="J27" i="9"/>
  <c r="J26" i="9"/>
  <c r="J25" i="9"/>
  <c r="J24" i="9"/>
  <c r="J23" i="9"/>
  <c r="J22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AA73" i="2"/>
  <c r="AA75" i="2"/>
  <c r="AA74" i="2"/>
  <c r="AA77" i="2"/>
  <c r="AA78" i="2"/>
  <c r="AA71" i="2"/>
  <c r="AA17" i="2"/>
  <c r="AA7" i="5"/>
  <c r="X178" i="8"/>
  <c r="X17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X147" i="8"/>
  <c r="X146" i="8"/>
  <c r="X145" i="8"/>
  <c r="X144" i="8"/>
  <c r="X143" i="8"/>
  <c r="X14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X112" i="8"/>
  <c r="X111" i="8"/>
  <c r="X110" i="8"/>
  <c r="X109" i="8"/>
  <c r="X108" i="8"/>
  <c r="X10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X77" i="8"/>
  <c r="X76" i="8"/>
  <c r="X75" i="8"/>
  <c r="X74" i="8"/>
  <c r="X73" i="8"/>
  <c r="X7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AA59" i="2"/>
  <c r="AA58" i="2"/>
  <c r="AA57" i="2"/>
  <c r="AA67" i="2"/>
  <c r="AA66" i="2"/>
  <c r="AA65" i="2"/>
  <c r="AA64" i="2"/>
  <c r="AA63" i="2"/>
  <c r="AA62" i="2"/>
  <c r="AA61" i="2"/>
  <c r="AA60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X53" i="8" l="1"/>
  <c r="X52" i="8"/>
  <c r="X51" i="8"/>
  <c r="X50" i="8"/>
  <c r="X49" i="8"/>
  <c r="X48" i="8"/>
  <c r="X47" i="8"/>
  <c r="X46" i="8"/>
  <c r="X45" i="8"/>
  <c r="X44" i="8"/>
  <c r="X43" i="8"/>
  <c r="X42" i="8"/>
  <c r="X41" i="8"/>
  <c r="X40" i="8"/>
  <c r="X39" i="8"/>
  <c r="X38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X5" i="8"/>
  <c r="X4" i="8"/>
  <c r="X3" i="8"/>
  <c r="AA6" i="5"/>
  <c r="AA5" i="5"/>
  <c r="F213" i="4"/>
  <c r="J213" i="4" s="1"/>
  <c r="J214" i="4"/>
  <c r="C213" i="4"/>
  <c r="J212" i="4" s="1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40" i="4" l="1"/>
  <c r="J138" i="4"/>
  <c r="J18" i="4"/>
  <c r="J74" i="4"/>
  <c r="J63" i="4"/>
  <c r="J64" i="4"/>
  <c r="AA68" i="2"/>
  <c r="AA69" i="2"/>
  <c r="AA70" i="2"/>
  <c r="AA16" i="2"/>
  <c r="AA79" i="2"/>
  <c r="AA39" i="2"/>
  <c r="AA38" i="2"/>
  <c r="AA37" i="2"/>
  <c r="AA18" i="2"/>
  <c r="F116" i="4"/>
  <c r="F115" i="4"/>
  <c r="J115" i="4" s="1"/>
  <c r="C115" i="4"/>
  <c r="J102" i="4"/>
  <c r="J186" i="4"/>
  <c r="J187" i="4"/>
  <c r="J188" i="4"/>
  <c r="J189" i="4"/>
  <c r="J190" i="4"/>
  <c r="J191" i="4"/>
  <c r="J192" i="4"/>
  <c r="J185" i="4"/>
  <c r="J171" i="4"/>
  <c r="J172" i="4"/>
  <c r="J173" i="4"/>
  <c r="J174" i="4"/>
  <c r="J175" i="4"/>
  <c r="J170" i="4"/>
  <c r="J158" i="4"/>
  <c r="J159" i="4"/>
  <c r="J160" i="4"/>
  <c r="J161" i="4"/>
  <c r="J162" i="4"/>
  <c r="J163" i="4"/>
  <c r="J164" i="4"/>
  <c r="J157" i="4"/>
  <c r="J137" i="4"/>
  <c r="J139" i="4"/>
  <c r="J141" i="4"/>
  <c r="J142" i="4"/>
  <c r="J143" i="4"/>
  <c r="J144" i="4"/>
  <c r="J146" i="4"/>
  <c r="J145" i="4"/>
  <c r="J147" i="4"/>
  <c r="J148" i="4"/>
  <c r="J149" i="4"/>
  <c r="J150" i="4"/>
  <c r="J151" i="4"/>
  <c r="J136" i="4"/>
  <c r="J123" i="4"/>
  <c r="J124" i="4"/>
  <c r="J125" i="4"/>
  <c r="J126" i="4"/>
  <c r="J127" i="4"/>
  <c r="J128" i="4"/>
  <c r="J129" i="4"/>
  <c r="J130" i="4"/>
  <c r="J122" i="4"/>
  <c r="J101" i="4"/>
  <c r="J103" i="4"/>
  <c r="J104" i="4"/>
  <c r="J105" i="4"/>
  <c r="J106" i="4"/>
  <c r="J107" i="4"/>
  <c r="J108" i="4"/>
  <c r="J109" i="4"/>
  <c r="J110" i="4"/>
  <c r="J111" i="4"/>
  <c r="J100" i="4"/>
  <c r="J85" i="4"/>
  <c r="J86" i="4"/>
  <c r="J87" i="4"/>
  <c r="J88" i="4"/>
  <c r="J89" i="4"/>
  <c r="J90" i="4"/>
  <c r="J91" i="4"/>
  <c r="J92" i="4"/>
  <c r="J93" i="4"/>
  <c r="J94" i="4"/>
  <c r="J84" i="4"/>
  <c r="J73" i="4"/>
  <c r="J75" i="4"/>
  <c r="J76" i="4"/>
  <c r="J77" i="4"/>
  <c r="J78" i="4"/>
  <c r="J72" i="4"/>
  <c r="J62" i="4"/>
  <c r="J65" i="4"/>
  <c r="J66" i="4"/>
  <c r="J61" i="4"/>
  <c r="J44" i="4"/>
  <c r="J45" i="4"/>
  <c r="J46" i="4"/>
  <c r="J47" i="4"/>
  <c r="J48" i="4"/>
  <c r="J49" i="4"/>
  <c r="J50" i="4"/>
  <c r="J51" i="4"/>
  <c r="J43" i="4"/>
  <c r="J29" i="4"/>
  <c r="J30" i="4"/>
  <c r="J31" i="4"/>
  <c r="J32" i="4"/>
  <c r="J33" i="4"/>
  <c r="J34" i="4"/>
  <c r="J28" i="4"/>
  <c r="J7" i="4"/>
  <c r="J8" i="4"/>
  <c r="J9" i="4"/>
  <c r="J12" i="4"/>
  <c r="J13" i="4"/>
  <c r="J14" i="4"/>
  <c r="J15" i="4"/>
  <c r="J16" i="4"/>
  <c r="J17" i="4"/>
  <c r="J19" i="4"/>
  <c r="J20" i="4"/>
  <c r="J21" i="4"/>
  <c r="J22" i="4"/>
  <c r="J6" i="4"/>
  <c r="AA4" i="5" l="1"/>
  <c r="AA13" i="5"/>
  <c r="AA18" i="5"/>
  <c r="AA25" i="5"/>
  <c r="AA24" i="5"/>
  <c r="AA23" i="5"/>
  <c r="AA22" i="5"/>
  <c r="AA141" i="2" l="1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09" i="2"/>
  <c r="AA104" i="2"/>
  <c r="AA14" i="2"/>
  <c r="AA160" i="2"/>
  <c r="AA149" i="2"/>
  <c r="AA148" i="2"/>
  <c r="AA147" i="2"/>
  <c r="AA146" i="2"/>
  <c r="AA145" i="2"/>
  <c r="AA144" i="2"/>
  <c r="AA143" i="2"/>
  <c r="AA142" i="2"/>
  <c r="AA157" i="2"/>
  <c r="AA156" i="2"/>
  <c r="AA155" i="2"/>
  <c r="AA154" i="2"/>
  <c r="AA153" i="2"/>
  <c r="AA152" i="2"/>
  <c r="AA151" i="2"/>
  <c r="AA150" i="2"/>
  <c r="AA161" i="2"/>
  <c r="AA159" i="2"/>
  <c r="AA158" i="2"/>
  <c r="AA103" i="2"/>
  <c r="AA100" i="2"/>
  <c r="AA99" i="2"/>
  <c r="AA98" i="2"/>
  <c r="AA92" i="2"/>
  <c r="AA91" i="2"/>
  <c r="AA90" i="2"/>
  <c r="AA89" i="2"/>
  <c r="AA88" i="2"/>
  <c r="AA87" i="2"/>
  <c r="AA86" i="2"/>
  <c r="AA85" i="2"/>
  <c r="AA96" i="2"/>
  <c r="AA95" i="2"/>
  <c r="AA94" i="2"/>
  <c r="AA93" i="2"/>
  <c r="AA97" i="2"/>
  <c r="AA101" i="2"/>
  <c r="AA102" i="2"/>
  <c r="AA35" i="2"/>
  <c r="AA33" i="2"/>
  <c r="AA34" i="2"/>
  <c r="AA29" i="2"/>
  <c r="AA30" i="2"/>
  <c r="AA31" i="2"/>
  <c r="AA32" i="2"/>
  <c r="AA121" i="2"/>
  <c r="AA119" i="2"/>
  <c r="AA112" i="2"/>
  <c r="AA82" i="2"/>
  <c r="AA21" i="2"/>
  <c r="AA10" i="2"/>
  <c r="AA3" i="2"/>
  <c r="AA84" i="2"/>
  <c r="J193" i="4"/>
  <c r="J176" i="4"/>
  <c r="J165" i="4"/>
  <c r="J152" i="4"/>
  <c r="J131" i="4"/>
  <c r="J112" i="4"/>
  <c r="J79" i="4"/>
  <c r="J67" i="4"/>
  <c r="J52" i="4"/>
  <c r="J35" i="4"/>
  <c r="AA115" i="2"/>
  <c r="J197" i="4"/>
  <c r="F196" i="4"/>
  <c r="C196" i="4"/>
  <c r="F195" i="4"/>
  <c r="C195" i="4"/>
  <c r="J184" i="4"/>
  <c r="J183" i="4"/>
  <c r="J182" i="4"/>
  <c r="AA120" i="2"/>
  <c r="AA83" i="2"/>
  <c r="AA22" i="2"/>
  <c r="AA11" i="2"/>
  <c r="AA4" i="2"/>
  <c r="AA116" i="2"/>
  <c r="AA114" i="2"/>
  <c r="F179" i="4"/>
  <c r="F178" i="4"/>
  <c r="C178" i="4"/>
  <c r="J180" i="4"/>
  <c r="C179" i="4"/>
  <c r="J169" i="4"/>
  <c r="J168" i="4"/>
  <c r="J167" i="4"/>
  <c r="J156" i="4"/>
  <c r="J155" i="4"/>
  <c r="J154" i="4"/>
  <c r="J135" i="4"/>
  <c r="J134" i="4"/>
  <c r="J133" i="4"/>
  <c r="J71" i="4"/>
  <c r="J70" i="4"/>
  <c r="J69" i="4"/>
  <c r="J121" i="4"/>
  <c r="J120" i="4"/>
  <c r="J119" i="4"/>
  <c r="J117" i="4"/>
  <c r="J116" i="4"/>
  <c r="C116" i="4"/>
  <c r="F114" i="4"/>
  <c r="J114" i="4" s="1"/>
  <c r="C114" i="4"/>
  <c r="J113" i="4" s="1"/>
  <c r="J99" i="4"/>
  <c r="J98" i="4"/>
  <c r="J97" i="4"/>
  <c r="J95" i="4"/>
  <c r="J83" i="4"/>
  <c r="J82" i="4"/>
  <c r="J81" i="4"/>
  <c r="J60" i="4"/>
  <c r="J59" i="4"/>
  <c r="J58" i="4"/>
  <c r="J56" i="4"/>
  <c r="F55" i="4"/>
  <c r="J55" i="4" s="1"/>
  <c r="C55" i="4"/>
  <c r="F54" i="4"/>
  <c r="C54" i="4"/>
  <c r="J53" i="4" s="1"/>
  <c r="J42" i="4"/>
  <c r="J41" i="4"/>
  <c r="J40" i="4"/>
  <c r="J38" i="4"/>
  <c r="F37" i="4"/>
  <c r="J37" i="4" s="1"/>
  <c r="C37" i="4"/>
  <c r="J36" i="4" s="1"/>
  <c r="J27" i="4"/>
  <c r="J26" i="4"/>
  <c r="J25" i="4"/>
  <c r="J23" i="4"/>
  <c r="J5" i="4"/>
  <c r="J4" i="4"/>
  <c r="J3" i="4"/>
  <c r="AA24" i="2"/>
  <c r="AA25" i="2"/>
  <c r="AA26" i="2"/>
  <c r="AA27" i="2"/>
  <c r="AA28" i="2"/>
  <c r="AA36" i="2"/>
  <c r="AA23" i="2"/>
  <c r="AA13" i="2"/>
  <c r="AA15" i="2"/>
  <c r="AA12" i="2"/>
  <c r="AA6" i="2"/>
  <c r="AA7" i="2"/>
  <c r="AA5" i="2"/>
  <c r="J196" i="4" l="1"/>
  <c r="J194" i="4"/>
  <c r="J195" i="4"/>
  <c r="J178" i="4"/>
  <c r="J177" i="4"/>
  <c r="J179" i="4"/>
  <c r="J54" i="4"/>
</calcChain>
</file>

<file path=xl/sharedStrings.xml><?xml version="1.0" encoding="utf-8"?>
<sst xmlns="http://schemas.openxmlformats.org/spreadsheetml/2006/main" count="3743" uniqueCount="993">
  <si>
    <t>의미</t>
    <phoneticPr fontId="1" type="noConversion"/>
  </si>
  <si>
    <t>물리명</t>
    <phoneticPr fontId="1" type="noConversion"/>
  </si>
  <si>
    <t>_DT</t>
    <phoneticPr fontId="1" type="noConversion"/>
  </si>
  <si>
    <t>논리명</t>
    <phoneticPr fontId="1" type="noConversion"/>
  </si>
  <si>
    <t>날짜(yyyymmdd)</t>
    <phoneticPr fontId="1" type="noConversion"/>
  </si>
  <si>
    <t>~일</t>
    <phoneticPr fontId="1" type="noConversion"/>
  </si>
  <si>
    <t>_DTTI</t>
    <phoneticPr fontId="1" type="noConversion"/>
  </si>
  <si>
    <t>~일시</t>
    <phoneticPr fontId="1" type="noConversion"/>
  </si>
  <si>
    <t>날짜 및 시간(yyyymmdd hh:MM:ss)</t>
    <phoneticPr fontId="1" type="noConversion"/>
  </si>
  <si>
    <t>_ID</t>
    <phoneticPr fontId="1" type="noConversion"/>
  </si>
  <si>
    <t>_SEQ</t>
    <phoneticPr fontId="1" type="noConversion"/>
  </si>
  <si>
    <t>시퀀스를 사용하지 않는 키 컬럼</t>
    <phoneticPr fontId="1" type="noConversion"/>
  </si>
  <si>
    <t>시퀀스를 사용하는 키 컬럼</t>
    <phoneticPr fontId="1" type="noConversion"/>
  </si>
  <si>
    <t>_CODE</t>
    <phoneticPr fontId="1" type="noConversion"/>
  </si>
  <si>
    <t>코드 테이블을 참조하는 컬럼</t>
    <phoneticPr fontId="1" type="noConversion"/>
  </si>
  <si>
    <t>_YN</t>
    <phoneticPr fontId="1" type="noConversion"/>
  </si>
  <si>
    <t>YN형식으로 관리되는 컬럼</t>
    <phoneticPr fontId="1" type="noConversion"/>
  </si>
  <si>
    <t>분류</t>
    <phoneticPr fontId="1" type="noConversion"/>
  </si>
  <si>
    <t>형식 지정</t>
    <phoneticPr fontId="1" type="noConversion"/>
  </si>
  <si>
    <t>타입</t>
    <phoneticPr fontId="1" type="noConversion"/>
  </si>
  <si>
    <t>VARCHAR(8)</t>
    <phoneticPr fontId="1" type="noConversion"/>
  </si>
  <si>
    <t>TIMESTAMP</t>
    <phoneticPr fontId="1" type="noConversion"/>
  </si>
  <si>
    <t>기본값</t>
    <phoneticPr fontId="1" type="noConversion"/>
  </si>
  <si>
    <t>CHAR(1)</t>
    <phoneticPr fontId="1" type="noConversion"/>
  </si>
  <si>
    <t>VARCHAR(10)</t>
    <phoneticPr fontId="1" type="noConversion"/>
  </si>
  <si>
    <t>VARCHAR(30)</t>
    <phoneticPr fontId="1" type="noConversion"/>
  </si>
  <si>
    <t>컬럼 정보</t>
    <phoneticPr fontId="1" type="noConversion"/>
  </si>
  <si>
    <t>NOW()</t>
    <phoneticPr fontId="1" type="noConversion"/>
  </si>
  <si>
    <t>테이블 정의서</t>
    <phoneticPr fontId="1" type="noConversion"/>
  </si>
  <si>
    <t>작성자</t>
    <phoneticPr fontId="1" type="noConversion"/>
  </si>
  <si>
    <t>작성일</t>
    <phoneticPr fontId="1" type="noConversion"/>
  </si>
  <si>
    <t>테이블 정의</t>
    <phoneticPr fontId="1" type="noConversion"/>
  </si>
  <si>
    <t>번호</t>
    <phoneticPr fontId="1" type="noConversion"/>
  </si>
  <si>
    <t>타입(길이)</t>
    <phoneticPr fontId="1" type="noConversion"/>
  </si>
  <si>
    <t>PK</t>
    <phoneticPr fontId="1" type="noConversion"/>
  </si>
  <si>
    <t>NULL 허용 여부</t>
    <phoneticPr fontId="1" type="noConversion"/>
  </si>
  <si>
    <t>코멘트</t>
    <phoneticPr fontId="1" type="noConversion"/>
  </si>
  <si>
    <t>사용자</t>
    <phoneticPr fontId="1" type="noConversion"/>
  </si>
  <si>
    <t>김상민</t>
    <phoneticPr fontId="1" type="noConversion"/>
  </si>
  <si>
    <t>사용자 정보 관리</t>
    <phoneticPr fontId="1" type="noConversion"/>
  </si>
  <si>
    <t>NOT NULL</t>
  </si>
  <si>
    <t>NOT NULL</t>
    <phoneticPr fontId="1" type="noConversion"/>
  </si>
  <si>
    <t>NULL</t>
  </si>
  <si>
    <t>NULL</t>
    <phoneticPr fontId="1" type="noConversion"/>
  </si>
  <si>
    <t>인덱스명</t>
    <phoneticPr fontId="1" type="noConversion"/>
  </si>
  <si>
    <t>인덱스 컬럼</t>
    <phoneticPr fontId="1" type="noConversion"/>
  </si>
  <si>
    <t>VARCHAR(20)</t>
    <phoneticPr fontId="1" type="noConversion"/>
  </si>
  <si>
    <t>VARCHAR(300)</t>
  </si>
  <si>
    <t>VARCHAR(2)</t>
  </si>
  <si>
    <t>TIMESTAMP</t>
  </si>
  <si>
    <t>FST_REG_DTTI</t>
  </si>
  <si>
    <t>이름</t>
  </si>
  <si>
    <t>비고</t>
  </si>
  <si>
    <t>비밀번호 최종수정일시</t>
  </si>
  <si>
    <t>이전 비밀번호</t>
  </si>
  <si>
    <t>비밀번호 오입력 횟수</t>
  </si>
  <si>
    <t>최초등록일시</t>
  </si>
  <si>
    <t>최종수정일시</t>
  </si>
  <si>
    <t>최종수정일시</t>
    <phoneticPr fontId="1" type="noConversion"/>
  </si>
  <si>
    <t/>
  </si>
  <si>
    <t>NOW()</t>
  </si>
  <si>
    <t>'0'</t>
  </si>
  <si>
    <t>코드 그룹 정보 관리</t>
    <phoneticPr fontId="1" type="noConversion"/>
  </si>
  <si>
    <t>CODE_GROUP_NM</t>
    <phoneticPr fontId="1" type="noConversion"/>
  </si>
  <si>
    <t>VARCHAR(150)</t>
  </si>
  <si>
    <t>VARCHAR(150)</t>
    <phoneticPr fontId="1" type="noConversion"/>
  </si>
  <si>
    <t>코드 상세 정보 관리</t>
    <phoneticPr fontId="1" type="noConversion"/>
  </si>
  <si>
    <t>CODE_GROUP</t>
    <phoneticPr fontId="1" type="noConversion"/>
  </si>
  <si>
    <t>VARCHAR(10)</t>
  </si>
  <si>
    <t>CODE_DETAIL</t>
    <phoneticPr fontId="1" type="noConversion"/>
  </si>
  <si>
    <t>_ORDER</t>
  </si>
  <si>
    <t>데이터 표시 순서</t>
    <phoneticPr fontId="1" type="noConversion"/>
  </si>
  <si>
    <t>로그인 로그 정보 관리</t>
    <phoneticPr fontId="1" type="noConversion"/>
  </si>
  <si>
    <t>VARCHAR(39)</t>
  </si>
  <si>
    <t>LOGIN_DTTI</t>
  </si>
  <si>
    <t>로그인일시</t>
  </si>
  <si>
    <t>사용자아이피</t>
  </si>
  <si>
    <t>로그인코드</t>
  </si>
  <si>
    <t>사용자아이디</t>
    <phoneticPr fontId="1" type="noConversion"/>
  </si>
  <si>
    <t>사용자비밀번호</t>
    <phoneticPr fontId="1" type="noConversion"/>
  </si>
  <si>
    <t>비밀번호최종수정일시</t>
    <phoneticPr fontId="1" type="noConversion"/>
  </si>
  <si>
    <t>코드그룹</t>
    <phoneticPr fontId="1" type="noConversion"/>
  </si>
  <si>
    <t>코드그룹명</t>
    <phoneticPr fontId="1" type="noConversion"/>
  </si>
  <si>
    <t>비밀번호 오입력 횟수</t>
    <phoneticPr fontId="1" type="noConversion"/>
  </si>
  <si>
    <t>비밀번호 초기화 여부</t>
    <phoneticPr fontId="1" type="noConversion"/>
  </si>
  <si>
    <t>코드상세정렬순서</t>
    <phoneticPr fontId="1" type="noConversion"/>
  </si>
  <si>
    <t>로그인일련번호</t>
    <phoneticPr fontId="1" type="noConversion"/>
  </si>
  <si>
    <t>LONGTEXT</t>
  </si>
  <si>
    <t>INT</t>
  </si>
  <si>
    <t>게시글일련번호</t>
    <phoneticPr fontId="1" type="noConversion"/>
  </si>
  <si>
    <t>공지사항</t>
    <phoneticPr fontId="1" type="noConversion"/>
  </si>
  <si>
    <t>공지사항 정보 관리</t>
    <phoneticPr fontId="1" type="noConversion"/>
  </si>
  <si>
    <t>BOARD_SEQ</t>
    <phoneticPr fontId="1" type="noConversion"/>
  </si>
  <si>
    <t>~여부</t>
    <phoneticPr fontId="1" type="noConversion"/>
  </si>
  <si>
    <t>~일련번호</t>
    <phoneticPr fontId="1" type="noConversion"/>
  </si>
  <si>
    <t>~식별자</t>
    <phoneticPr fontId="1" type="noConversion"/>
  </si>
  <si>
    <t>~코드</t>
    <phoneticPr fontId="1" type="noConversion"/>
  </si>
  <si>
    <t>~표시순서</t>
    <phoneticPr fontId="1" type="noConversion"/>
  </si>
  <si>
    <t>공지사항제목</t>
    <phoneticPr fontId="1" type="noConversion"/>
  </si>
  <si>
    <t>공지사항내용</t>
    <phoneticPr fontId="1" type="noConversion"/>
  </si>
  <si>
    <t>공지사항조회수</t>
    <phoneticPr fontId="1" type="noConversion"/>
  </si>
  <si>
    <t>공지사항팝업여부</t>
    <phoneticPr fontId="1" type="noConversion"/>
  </si>
  <si>
    <t>공지사항게시시작일</t>
    <phoneticPr fontId="1" type="noConversion"/>
  </si>
  <si>
    <t>공지사항게시종료일</t>
    <phoneticPr fontId="1" type="noConversion"/>
  </si>
  <si>
    <t>첨부파일</t>
    <phoneticPr fontId="1" type="noConversion"/>
  </si>
  <si>
    <t>첨부파일 정보 관리</t>
    <phoneticPr fontId="1" type="noConversion"/>
  </si>
  <si>
    <t>VARCHAR(320)</t>
  </si>
  <si>
    <t>VARCHAR(600)</t>
  </si>
  <si>
    <t>BIGINT</t>
  </si>
  <si>
    <t>ATC_FILE_CAPA_VAL</t>
  </si>
  <si>
    <t>ATC_FILE_EXTS</t>
  </si>
  <si>
    <t>파일명</t>
  </si>
  <si>
    <t>BOARD_CODE</t>
    <phoneticPr fontId="1" type="noConversion"/>
  </si>
  <si>
    <t>게시판구분코드</t>
    <phoneticPr fontId="1" type="noConversion"/>
  </si>
  <si>
    <t>ATCFILE_NUM</t>
    <phoneticPr fontId="1" type="noConversion"/>
  </si>
  <si>
    <t>INT(2)</t>
    <phoneticPr fontId="1" type="noConversion"/>
  </si>
  <si>
    <t>파일저장명</t>
    <phoneticPr fontId="1" type="noConversion"/>
  </si>
  <si>
    <t>파일경로</t>
    <phoneticPr fontId="1" type="noConversion"/>
  </si>
  <si>
    <t>파일용량</t>
    <phoneticPr fontId="1" type="noConversion"/>
  </si>
  <si>
    <t>파일확장자</t>
    <phoneticPr fontId="1" type="noConversion"/>
  </si>
  <si>
    <t>정책</t>
    <phoneticPr fontId="1" type="noConversion"/>
  </si>
  <si>
    <t>시스템 정책 관리</t>
    <phoneticPr fontId="1" type="noConversion"/>
  </si>
  <si>
    <t>VARCHAR(3000)</t>
  </si>
  <si>
    <t>POLI_NM</t>
  </si>
  <si>
    <t>정책명</t>
  </si>
  <si>
    <t>정책값</t>
  </si>
  <si>
    <t>POLI_SEQ</t>
    <phoneticPr fontId="1" type="noConversion"/>
  </si>
  <si>
    <t>정책일련번호</t>
    <phoneticPr fontId="1" type="noConversion"/>
  </si>
  <si>
    <t>POLI_CODE</t>
    <phoneticPr fontId="1" type="noConversion"/>
  </si>
  <si>
    <t>정책분류코드</t>
    <phoneticPr fontId="1" type="noConversion"/>
  </si>
  <si>
    <t>정책분류코드(01:사용자)</t>
    <phoneticPr fontId="1" type="noConversion"/>
  </si>
  <si>
    <t>LOGIN_SEQ</t>
    <phoneticPr fontId="1" type="noConversion"/>
  </si>
  <si>
    <t>CODE_DETAIL_NM</t>
    <phoneticPr fontId="1" type="noConversion"/>
  </si>
  <si>
    <t>코드상세명</t>
    <phoneticPr fontId="1" type="noConversion"/>
  </si>
  <si>
    <t>코드상세</t>
    <phoneticPr fontId="1" type="noConversion"/>
  </si>
  <si>
    <t>테이블</t>
    <phoneticPr fontId="1" type="noConversion"/>
  </si>
  <si>
    <t>"01"</t>
    <phoneticPr fontId="1" type="noConversion"/>
  </si>
  <si>
    <t>"PW_ERR_CNT_LIM"</t>
    <phoneticPr fontId="1" type="noConversion"/>
  </si>
  <si>
    <t>"비밀번호 오입력 횟수 제한"</t>
    <phoneticPr fontId="1" type="noConversion"/>
  </si>
  <si>
    <t>"SESSION_TIME"</t>
    <phoneticPr fontId="1" type="noConversion"/>
  </si>
  <si>
    <t>"세션유지시간(초단위)"</t>
    <phoneticPr fontId="1" type="noConversion"/>
  </si>
  <si>
    <t>"PSWD_LIM_DAYS"</t>
    <phoneticPr fontId="1" type="noConversion"/>
  </si>
  <si>
    <t>"비밀번호 변경 주기(일)"</t>
    <phoneticPr fontId="1" type="noConversion"/>
  </si>
  <si>
    <t>;</t>
    <phoneticPr fontId="1" type="noConversion"/>
  </si>
  <si>
    <t>"LOGIN_CODE"</t>
    <phoneticPr fontId="1" type="noConversion"/>
  </si>
  <si>
    <t>"LOGIN_INFO_EXCEPT_URI"</t>
    <phoneticPr fontId="1" type="noConversion"/>
  </si>
  <si>
    <t>"POLI_CODE"</t>
    <phoneticPr fontId="1" type="noConversion"/>
  </si>
  <si>
    <t>"/user/signUp"</t>
    <phoneticPr fontId="1" type="noConversion"/>
  </si>
  <si>
    <t>"로그인"</t>
    <phoneticPr fontId="1" type="noConversion"/>
  </si>
  <si>
    <t>"02"</t>
    <phoneticPr fontId="1" type="noConversion"/>
  </si>
  <si>
    <t>"03"</t>
    <phoneticPr fontId="1" type="noConversion"/>
  </si>
  <si>
    <t>"04"</t>
    <phoneticPr fontId="1" type="noConversion"/>
  </si>
  <si>
    <t>"05"</t>
    <phoneticPr fontId="1" type="noConversion"/>
  </si>
  <si>
    <t>"비밀번호 오입력 횟수 초과"</t>
    <phoneticPr fontId="1" type="noConversion"/>
  </si>
  <si>
    <t>"비밀번호 오입력"</t>
    <phoneticPr fontId="1" type="noConversion"/>
  </si>
  <si>
    <t>"존재하지 않는 아이디"</t>
    <phoneticPr fontId="1" type="noConversion"/>
  </si>
  <si>
    <t>"로그아웃"</t>
    <phoneticPr fontId="1" type="noConversion"/>
  </si>
  <si>
    <t>코드수정가능여부</t>
  </si>
  <si>
    <t>코드수정가능여부</t>
    <phoneticPr fontId="1" type="noConversion"/>
  </si>
  <si>
    <t>"N"</t>
    <phoneticPr fontId="1" type="noConversion"/>
  </si>
  <si>
    <t>파일번호</t>
    <phoneticPr fontId="1" type="noConversion"/>
  </si>
  <si>
    <t>"admin"</t>
    <phoneticPr fontId="1" type="noConversion"/>
  </si>
  <si>
    <t>서버에 발생한 요청 기록 관리</t>
    <phoneticPr fontId="1" type="noConversion"/>
  </si>
  <si>
    <t>REQ_SEQ</t>
    <phoneticPr fontId="1" type="noConversion"/>
  </si>
  <si>
    <t>요청일련번호</t>
    <phoneticPr fontId="1" type="noConversion"/>
  </si>
  <si>
    <t>REQ_DTTI</t>
    <phoneticPr fontId="1" type="noConversion"/>
  </si>
  <si>
    <t>요청일시</t>
    <phoneticPr fontId="1" type="noConversion"/>
  </si>
  <si>
    <t>요청경로</t>
    <phoneticPr fontId="1" type="noConversion"/>
  </si>
  <si>
    <t>요청파라미터</t>
    <phoneticPr fontId="1" type="noConversion"/>
  </si>
  <si>
    <t>VARCHAR(100)</t>
    <phoneticPr fontId="1" type="noConversion"/>
  </si>
  <si>
    <t>LONGTEXT</t>
    <phoneticPr fontId="1" type="noConversion"/>
  </si>
  <si>
    <t>REQ_TYPE_CODE</t>
    <phoneticPr fontId="1" type="noConversion"/>
  </si>
  <si>
    <t>요청타입코드</t>
    <phoneticPr fontId="1" type="noConversion"/>
  </si>
  <si>
    <t>요청로그</t>
    <phoneticPr fontId="1" type="noConversion"/>
  </si>
  <si>
    <t>로그인로그</t>
    <phoneticPr fontId="1" type="noConversion"/>
  </si>
  <si>
    <t>메뉴</t>
    <phoneticPr fontId="1" type="noConversion"/>
  </si>
  <si>
    <t>시스템 메뉴 관리</t>
    <phoneticPr fontId="1" type="noConversion"/>
  </si>
  <si>
    <t>메뉴경로</t>
    <phoneticPr fontId="1" type="noConversion"/>
  </si>
  <si>
    <t>MNU_NM</t>
    <phoneticPr fontId="1" type="noConversion"/>
  </si>
  <si>
    <t>메뉴명</t>
    <phoneticPr fontId="1" type="noConversion"/>
  </si>
  <si>
    <t>정책값</t>
    <phoneticPr fontId="1" type="noConversion"/>
  </si>
  <si>
    <t>메뉴노출여부</t>
    <phoneticPr fontId="1" type="noConversion"/>
  </si>
  <si>
    <t>"Y"</t>
    <phoneticPr fontId="1" type="noConversion"/>
  </si>
  <si>
    <t>메뉴레벨</t>
    <phoneticPr fontId="1" type="noConversion"/>
  </si>
  <si>
    <t>메뉴정보</t>
    <phoneticPr fontId="1" type="noConversion"/>
  </si>
  <si>
    <t>메뉴표시순서</t>
    <phoneticPr fontId="1" type="noConversion"/>
  </si>
  <si>
    <t>_RMRK</t>
    <phoneticPr fontId="1" type="noConversion"/>
  </si>
  <si>
    <t>~비고</t>
    <phoneticPr fontId="1" type="noConversion"/>
  </si>
  <si>
    <t>데이터 관련 비고내용</t>
    <phoneticPr fontId="1" type="noConversion"/>
  </si>
  <si>
    <t>VARCHAR(3000)</t>
    <phoneticPr fontId="1" type="noConversion"/>
  </si>
  <si>
    <t>메뉴비고</t>
    <phoneticPr fontId="1" type="noConversion"/>
  </si>
  <si>
    <t>INT(1)</t>
    <phoneticPr fontId="1" type="noConversion"/>
  </si>
  <si>
    <t>POLI_VAL</t>
    <phoneticPr fontId="1" type="noConversion"/>
  </si>
  <si>
    <t>정책비고</t>
    <phoneticPr fontId="1" type="noConversion"/>
  </si>
  <si>
    <t>사용자비고</t>
    <phoneticPr fontId="1" type="noConversion"/>
  </si>
  <si>
    <t>사용자이름</t>
    <phoneticPr fontId="1" type="noConversion"/>
  </si>
  <si>
    <t>최초등록자아이디</t>
    <phoneticPr fontId="1" type="noConversion"/>
  </si>
  <si>
    <t>최종수정자아이디</t>
    <phoneticPr fontId="1" type="noConversion"/>
  </si>
  <si>
    <t>MNU_SEQ</t>
    <phoneticPr fontId="1" type="noConversion"/>
  </si>
  <si>
    <t>메뉴일련번호</t>
    <phoneticPr fontId="1" type="noConversion"/>
  </si>
  <si>
    <t>"info"</t>
    <phoneticPr fontId="1" type="noConversion"/>
  </si>
  <si>
    <t>"정보"</t>
    <phoneticPr fontId="1" type="noConversion"/>
  </si>
  <si>
    <t>"정보 관련 대메뉴"</t>
    <phoneticPr fontId="1" type="noConversion"/>
  </si>
  <si>
    <t>"board"</t>
    <phoneticPr fontId="1" type="noConversion"/>
  </si>
  <si>
    <t>"market"</t>
    <phoneticPr fontId="1" type="noConversion"/>
  </si>
  <si>
    <t>"active"</t>
    <phoneticPr fontId="1" type="noConversion"/>
  </si>
  <si>
    <t>"sitter"</t>
    <phoneticPr fontId="1" type="noConversion"/>
  </si>
  <si>
    <t>"게시판"</t>
    <phoneticPr fontId="1" type="noConversion"/>
  </si>
  <si>
    <t>"장터"</t>
    <phoneticPr fontId="1" type="noConversion"/>
  </si>
  <si>
    <t>"관리자"</t>
    <phoneticPr fontId="1" type="noConversion"/>
  </si>
  <si>
    <t>"베이비시터"</t>
    <phoneticPr fontId="1" type="noConversion"/>
  </si>
  <si>
    <t>"활동"</t>
    <phoneticPr fontId="1" type="noConversion"/>
  </si>
  <si>
    <t>"관리자 관련 대메뉴"</t>
    <phoneticPr fontId="1" type="noConversion"/>
  </si>
  <si>
    <t>"관리자홈"</t>
    <phoneticPr fontId="1" type="noConversion"/>
  </si>
  <si>
    <t>"user"</t>
    <phoneticPr fontId="1" type="noConversion"/>
  </si>
  <si>
    <t>"사용자"</t>
    <phoneticPr fontId="1" type="noConversion"/>
  </si>
  <si>
    <t>ROLE_SEQ</t>
    <phoneticPr fontId="1" type="noConversion"/>
  </si>
  <si>
    <t>ROLE_NM</t>
    <phoneticPr fontId="1" type="noConversion"/>
  </si>
  <si>
    <t>권한그룹일련번호</t>
    <phoneticPr fontId="1" type="noConversion"/>
  </si>
  <si>
    <t>권한그룹명</t>
    <phoneticPr fontId="1" type="noConversion"/>
  </si>
  <si>
    <t>권한그룹</t>
    <phoneticPr fontId="1" type="noConversion"/>
  </si>
  <si>
    <t>권한그룹표시순서</t>
    <phoneticPr fontId="1" type="noConversion"/>
  </si>
  <si>
    <t>권한그룹비고</t>
    <phoneticPr fontId="1" type="noConversion"/>
  </si>
  <si>
    <t>사용자_권한그룹_매핑</t>
    <phoneticPr fontId="1" type="noConversion"/>
  </si>
  <si>
    <t>시스템 권한그룹 관리</t>
    <phoneticPr fontId="1" type="noConversion"/>
  </si>
  <si>
    <t>시스템 사용자와 권한그룹 연결</t>
    <phoneticPr fontId="1" type="noConversion"/>
  </si>
  <si>
    <t>권한</t>
    <phoneticPr fontId="1" type="noConversion"/>
  </si>
  <si>
    <t>메뉴에 대한 권한그룹의 읽기, 쓰기 권한 관리</t>
    <phoneticPr fontId="1" type="noConversion"/>
  </si>
  <si>
    <t>"읽기"</t>
    <phoneticPr fontId="1" type="noConversion"/>
  </si>
  <si>
    <t>"게스트"</t>
    <phoneticPr fontId="1" type="noConversion"/>
  </si>
  <si>
    <t>참조테이블</t>
    <phoneticPr fontId="1" type="noConversion"/>
  </si>
  <si>
    <t>"REQ_TYPE_CODE"</t>
    <phoneticPr fontId="1" type="noConversion"/>
  </si>
  <si>
    <t>"error"</t>
    <phoneticPr fontId="1" type="noConversion"/>
  </si>
  <si>
    <t>"오류"</t>
    <phoneticPr fontId="1" type="noConversion"/>
  </si>
  <si>
    <t>AUTH_GRADE</t>
    <phoneticPr fontId="1" type="noConversion"/>
  </si>
  <si>
    <t>권한등급</t>
    <phoneticPr fontId="1" type="noConversion"/>
  </si>
  <si>
    <t>AUTH_NM</t>
    <phoneticPr fontId="1" type="noConversion"/>
  </si>
  <si>
    <t>권한명</t>
    <phoneticPr fontId="1" type="noConversion"/>
  </si>
  <si>
    <t>_NM</t>
    <phoneticPr fontId="1" type="noConversion"/>
  </si>
  <si>
    <t>~명</t>
    <phoneticPr fontId="1" type="noConversion"/>
  </si>
  <si>
    <t>값에 대한 한글 표기</t>
    <phoneticPr fontId="1" type="noConversion"/>
  </si>
  <si>
    <t>VARCHAR(300)</t>
    <phoneticPr fontId="1" type="noConversion"/>
  </si>
  <si>
    <t>권한등급(1:읽기, 2:읽기/쓰기, 3:기타권한1, 4:기타권한2 ...)</t>
    <phoneticPr fontId="1" type="noConversion"/>
  </si>
  <si>
    <t>권한명(1:읽기, 2:읽기/쓰기, 3:기타권한1, 4:기타권한2 ...)</t>
    <phoneticPr fontId="1" type="noConversion"/>
  </si>
  <si>
    <t>RMRK</t>
  </si>
  <si>
    <t>MODIFY_YN</t>
  </si>
  <si>
    <t>DETAIL_ORDER</t>
  </si>
  <si>
    <t>IP</t>
  </si>
  <si>
    <t>URL</t>
  </si>
  <si>
    <t>OPEN_YN</t>
  </si>
  <si>
    <t>AUTH_YN</t>
  </si>
  <si>
    <t>TITLE</t>
  </si>
  <si>
    <t>CN</t>
  </si>
  <si>
    <t>STR_DT</t>
  </si>
  <si>
    <t>END_DT</t>
  </si>
  <si>
    <t>POP_YN</t>
  </si>
  <si>
    <t>HIT</t>
  </si>
  <si>
    <t>URI</t>
    <phoneticPr fontId="1" type="noConversion"/>
  </si>
  <si>
    <t>PARAM</t>
    <phoneticPr fontId="1" type="noConversion"/>
  </si>
  <si>
    <t>USER_ID</t>
  </si>
  <si>
    <t>USER_ID</t>
    <phoneticPr fontId="1" type="noConversion"/>
  </si>
  <si>
    <t>USER_PW</t>
    <phoneticPr fontId="1" type="noConversion"/>
  </si>
  <si>
    <t>MNU_LV</t>
    <phoneticPr fontId="1" type="noConversion"/>
  </si>
  <si>
    <t>ROLE_ORDER</t>
    <phoneticPr fontId="1" type="noConversion"/>
  </si>
  <si>
    <t>MNU_ORDER</t>
    <phoneticPr fontId="1" type="noConversion"/>
  </si>
  <si>
    <t>RMRK</t>
    <phoneticPr fontId="1" type="noConversion"/>
  </si>
  <si>
    <t>"시스템 사용자의 기본 권한"</t>
    <phoneticPr fontId="1" type="noConversion"/>
  </si>
  <si>
    <t>"프로젝트 열람을 위한 권한"</t>
    <phoneticPr fontId="1" type="noConversion"/>
  </si>
  <si>
    <t>"시스템 관리자 권한"</t>
    <phoneticPr fontId="1" type="noConversion"/>
  </si>
  <si>
    <t>"user1"</t>
    <phoneticPr fontId="1" type="noConversion"/>
  </si>
  <si>
    <t>"user2"</t>
  </si>
  <si>
    <t>"user3"</t>
  </si>
  <si>
    <t>"user4"</t>
  </si>
  <si>
    <t>"user5"</t>
  </si>
  <si>
    <t>"user6"</t>
  </si>
  <si>
    <t>"user7"</t>
  </si>
  <si>
    <t>"user8"</t>
  </si>
  <si>
    <t>"user9"</t>
  </si>
  <si>
    <t>"user10"</t>
  </si>
  <si>
    <t>"user11"</t>
  </si>
  <si>
    <t>"user12"</t>
  </si>
  <si>
    <t>"user13"</t>
  </si>
  <si>
    <t>"user14"</t>
  </si>
  <si>
    <t>"user15"</t>
  </si>
  <si>
    <t>"user16"</t>
  </si>
  <si>
    <t>"user17"</t>
  </si>
  <si>
    <t>"user18"</t>
  </si>
  <si>
    <t>"user19"</t>
  </si>
  <si>
    <t>"user20"</t>
  </si>
  <si>
    <t>권한검사여부</t>
    <phoneticPr fontId="1" type="noConversion"/>
  </si>
  <si>
    <t>USE_YN</t>
    <phoneticPr fontId="1" type="noConversion"/>
  </si>
  <si>
    <t>사용여부</t>
    <phoneticPr fontId="1" type="noConversion"/>
  </si>
  <si>
    <t>VARCHAR(1)</t>
    <phoneticPr fontId="1" type="noConversion"/>
  </si>
  <si>
    <t>'Y'</t>
    <phoneticPr fontId="1" type="noConversion"/>
  </si>
  <si>
    <t>ATC_FILE_PATH</t>
    <phoneticPr fontId="1" type="noConversion"/>
  </si>
  <si>
    <t>ATC_FILE_NM</t>
    <phoneticPr fontId="1" type="noConversion"/>
  </si>
  <si>
    <t>SAVE_ATC_FILE_NM</t>
    <phoneticPr fontId="1" type="noConversion"/>
  </si>
  <si>
    <t>PRICE</t>
    <phoneticPr fontId="1" type="noConversion"/>
  </si>
  <si>
    <t>가격</t>
    <phoneticPr fontId="1" type="noConversion"/>
  </si>
  <si>
    <t>INT</t>
    <phoneticPr fontId="1" type="noConversion"/>
  </si>
  <si>
    <t>상품명</t>
    <phoneticPr fontId="1" type="noConversion"/>
  </si>
  <si>
    <t>CNT</t>
    <phoneticPr fontId="1" type="noConversion"/>
  </si>
  <si>
    <t>"guest1"</t>
    <phoneticPr fontId="1" type="noConversion"/>
  </si>
  <si>
    <t>"게스트1"</t>
    <phoneticPr fontId="1" type="noConversion"/>
  </si>
  <si>
    <t>'01'</t>
    <phoneticPr fontId="1" type="noConversion"/>
  </si>
  <si>
    <t>비밀번호 초기화 여부</t>
    <phoneticPr fontId="1" type="noConversion"/>
  </si>
  <si>
    <t>RMRK</t>
    <phoneticPr fontId="1" type="noConversion"/>
  </si>
  <si>
    <t>USER_PW</t>
    <phoneticPr fontId="1" type="noConversion"/>
  </si>
  <si>
    <t>추가요건</t>
    <phoneticPr fontId="1" type="noConversion"/>
  </si>
  <si>
    <t>사용자(권합그룹일련번호 1)는 관리자 메뉴에 대해 권한 등급 0으로 수정</t>
    <phoneticPr fontId="1" type="noConversion"/>
  </si>
  <si>
    <t>'Y'</t>
    <phoneticPr fontId="1" type="noConversion"/>
  </si>
  <si>
    <t>"사용자관리"</t>
    <phoneticPr fontId="1" type="noConversion"/>
  </si>
  <si>
    <t>비고</t>
    <phoneticPr fontId="1" type="noConversion"/>
  </si>
  <si>
    <t>USER_NM</t>
    <phoneticPr fontId="1" type="noConversion"/>
  </si>
  <si>
    <t>사용자명</t>
    <phoneticPr fontId="1" type="noConversion"/>
  </si>
  <si>
    <t>상품</t>
    <phoneticPr fontId="1" type="noConversion"/>
  </si>
  <si>
    <t>ITEM_SEQ</t>
    <phoneticPr fontId="1" type="noConversion"/>
  </si>
  <si>
    <t>상품일련번호</t>
    <phoneticPr fontId="1" type="noConversion"/>
  </si>
  <si>
    <t>ITEM_NM</t>
    <phoneticPr fontId="1" type="noConversion"/>
  </si>
  <si>
    <t>IMG</t>
    <phoneticPr fontId="1" type="noConversion"/>
  </si>
  <si>
    <t>이미지</t>
    <phoneticPr fontId="1" type="noConversion"/>
  </si>
  <si>
    <t>이미지 파일명</t>
    <phoneticPr fontId="1" type="noConversion"/>
  </si>
  <si>
    <t>장바구니</t>
    <phoneticPr fontId="1" type="noConversion"/>
  </si>
  <si>
    <t>개수</t>
    <phoneticPr fontId="1" type="noConversion"/>
  </si>
  <si>
    <t>USER_SEQ</t>
    <phoneticPr fontId="1" type="noConversion"/>
  </si>
  <si>
    <t>사용자일련번호</t>
    <phoneticPr fontId="1" type="noConversion"/>
  </si>
  <si>
    <t>AUTO_INCREMENT</t>
    <phoneticPr fontId="1" type="noConversion"/>
  </si>
  <si>
    <t>FST_REG_SEQ</t>
  </si>
  <si>
    <t>FST_REG_SEQ</t>
    <phoneticPr fontId="1" type="noConversion"/>
  </si>
  <si>
    <t>최초등록자일련번호</t>
  </si>
  <si>
    <t>최종수정자일련번호</t>
  </si>
  <si>
    <t>게시판구분코드(01:공지사항,02:자유게시판,03:상품요청)</t>
    <phoneticPr fontId="1" type="noConversion"/>
  </si>
  <si>
    <t>"장바구니"</t>
    <phoneticPr fontId="1" type="noConversion"/>
  </si>
  <si>
    <t>ITEM_SEQ</t>
  </si>
  <si>
    <t>상품일련번호</t>
  </si>
  <si>
    <t>ITEM_NM</t>
  </si>
  <si>
    <t>상품명</t>
  </si>
  <si>
    <t>PRICE</t>
  </si>
  <si>
    <t>가격</t>
  </si>
  <si>
    <t>IMG</t>
  </si>
  <si>
    <t>이미지</t>
  </si>
  <si>
    <t>ITEM_TYPE_CODE</t>
  </si>
  <si>
    <t>ITEM_TYPE_CODE</t>
    <phoneticPr fontId="1" type="noConversion"/>
  </si>
  <si>
    <t>상품 분류코드</t>
  </si>
  <si>
    <t>상품 분류코드</t>
    <phoneticPr fontId="1" type="noConversion"/>
  </si>
  <si>
    <t>ITEM_DTL_TYPE_CODE</t>
  </si>
  <si>
    <t>ITEM_DTL_TYPE_CODE</t>
    <phoneticPr fontId="1" type="noConversion"/>
  </si>
  <si>
    <t>상품 상세 분류코드</t>
  </si>
  <si>
    <t>상품 상세 분류코드</t>
    <phoneticPr fontId="1" type="noConversion"/>
  </si>
  <si>
    <t>판매단위</t>
  </si>
  <si>
    <t>판매단위</t>
    <phoneticPr fontId="1" type="noConversion"/>
  </si>
  <si>
    <t>UNIT</t>
  </si>
  <si>
    <t>UNIT</t>
    <phoneticPr fontId="1" type="noConversion"/>
  </si>
  <si>
    <t>"ITEM_TYPE_CODE"</t>
    <phoneticPr fontId="1" type="noConversion"/>
  </si>
  <si>
    <t>"ITEM_DTL_TYPE_CODE"</t>
    <phoneticPr fontId="1" type="noConversion"/>
  </si>
  <si>
    <t>"01"</t>
  </si>
  <si>
    <t>"식품"</t>
    <phoneticPr fontId="1" type="noConversion"/>
  </si>
  <si>
    <t>"02"</t>
  </si>
  <si>
    <t>"화장품"</t>
    <phoneticPr fontId="1" type="noConversion"/>
  </si>
  <si>
    <t>"03"</t>
  </si>
  <si>
    <t>"기타"</t>
    <phoneticPr fontId="1" type="noConversion"/>
  </si>
  <si>
    <t>"0101"</t>
  </si>
  <si>
    <t>"0102"</t>
  </si>
  <si>
    <t>"0103"</t>
  </si>
  <si>
    <t>"0104"</t>
  </si>
  <si>
    <t>"0105"</t>
  </si>
  <si>
    <t>"0106"</t>
  </si>
  <si>
    <t>"0107"</t>
  </si>
  <si>
    <t>"0108"</t>
  </si>
  <si>
    <t>"0109"</t>
  </si>
  <si>
    <t>"0201"</t>
  </si>
  <si>
    <t>"0202"</t>
  </si>
  <si>
    <t>"0203"</t>
  </si>
  <si>
    <t>"0204"</t>
  </si>
  <si>
    <t>"0205"</t>
  </si>
  <si>
    <t>"0301"</t>
  </si>
  <si>
    <t>"0302"</t>
  </si>
  <si>
    <t>"0303"</t>
  </si>
  <si>
    <t>"0304"</t>
  </si>
  <si>
    <t>"캘리포니아센트 스필프루프 코로나도"</t>
  </si>
  <si>
    <t>"젠틀 디퓨저 블랙로즈"</t>
  </si>
  <si>
    <t>"에멜시 차량용 방향제 170ml 헤블린 오션"</t>
  </si>
  <si>
    <t>"그라스 디퓨저 105ml 블랙베리&amp;체리"</t>
  </si>
  <si>
    <t>"다우니 프리미엄 세탁세제 액체형 실내건조"</t>
  </si>
  <si>
    <t>"비트 마사지 건 HMS-12"</t>
  </si>
  <si>
    <t>"질레트 프로쉴드 옐로우 면도날 4입"</t>
  </si>
  <si>
    <t>"프링글스 리치치즈갈릭"</t>
  </si>
  <si>
    <t>"프링글스 버터카라멜"</t>
  </si>
  <si>
    <t>"프링글스 핫앤스파이시"</t>
  </si>
  <si>
    <t>"키커바"</t>
  </si>
  <si>
    <t>"코주부 CLASSIC 육포 Mild 130g"</t>
  </si>
  <si>
    <t>"코주부 CLASSIC 육포 HOT &amp; SPICY 130g"</t>
  </si>
  <si>
    <t>"펩시제로슈거라임 500ml"</t>
  </si>
  <si>
    <t>"핫식스더킹러쉬 355ml"</t>
  </si>
  <si>
    <t>"핫식스더킹파워 355ml"</t>
  </si>
  <si>
    <t>"몬스터에너지 울트라 355ml"</t>
  </si>
  <si>
    <t>"햇반 130g"</t>
  </si>
  <si>
    <t>"햇반 210g"</t>
  </si>
  <si>
    <t>"맛있는 오뚜기밥 210g"</t>
  </si>
  <si>
    <t>"햇반흑미밥 130g"</t>
  </si>
  <si>
    <t>"햇반 매일잡곡밥 210g"</t>
  </si>
  <si>
    <t>"오뚜기 컵누들 매콤한 맛"</t>
  </si>
  <si>
    <t>"쟈뎅 아워티 콤푸차 레몬 10p"</t>
  </si>
  <si>
    <t>"쟈뎅 아워티 콤푸차 베리 10p"</t>
  </si>
  <si>
    <t>"쟈뎅 아워티 콤푸차 자몽 10p"</t>
  </si>
  <si>
    <t>"박카스맛젤리"</t>
  </si>
  <si>
    <t>"이클립스 페퍼민트향 34g"</t>
  </si>
  <si>
    <t>"이클립스 피치향 34g"</t>
  </si>
  <si>
    <t>"맥스빌더"</t>
  </si>
  <si>
    <t>"롯데햄 키스틱 더블치즈 소시지"</t>
  </si>
  <si>
    <t>"키스틱"</t>
  </si>
  <si>
    <t>"퀘이커 마시는오트밀 오트&amp;그레인, 50g"</t>
  </si>
  <si>
    <t>"퀘이커 마시는 오트밀 오트&amp;우리쌀, 50g"</t>
  </si>
  <si>
    <t>"퀘이커 마시는 오트밀 단백질, 80g"</t>
  </si>
  <si>
    <t>"퀘이커 마시는 오트밀 찰옥수수, 50g"</t>
  </si>
  <si>
    <t>"SNP 골드 콜라겐 앰플 마스크"</t>
  </si>
  <si>
    <t>"메디힐 디엔에이 프로아틴 마스크"</t>
  </si>
  <si>
    <t>"닥터지 메디유브이 울트라 선 50ml"</t>
  </si>
  <si>
    <t>"AHC 내추럴 퍼펙션 프레쉬선스틱"</t>
  </si>
  <si>
    <t>"AHC프라이빗 리얼아이크림기프트세트"</t>
  </si>
  <si>
    <t>"마녀공장 비피다 바이옴 수분 장벽 강화 크림 기획세트"</t>
  </si>
  <si>
    <t>"이니스프리 퍼펙트9인텐시브 크림"</t>
  </si>
  <si>
    <t>"닥터지 로얄 블랙스네일 크림"</t>
  </si>
  <si>
    <t>"아이소이 탄력크림EX"</t>
  </si>
  <si>
    <t>"다이아몬드 리페어 퍼펙트 세트"</t>
  </si>
  <si>
    <t>"닥터지 레드 블레미쉬 모이스처 클렌징 폼"</t>
  </si>
  <si>
    <t>"뉴트로지나 딥클린 아크네 포밍"</t>
  </si>
  <si>
    <t>"캘리포니아센트 스필프루프 코로나도.jpg"</t>
  </si>
  <si>
    <t>"젠틀 디퓨저 블랙로즈.jpg"</t>
  </si>
  <si>
    <t>"에멜시 차량용 방향제 170ml 헤블린 오션.jpg"</t>
  </si>
  <si>
    <t>"그라스 디퓨저 105ml 블랙베리&amp;체리.jpg"</t>
  </si>
  <si>
    <t>"다우니 프리미엄 세탁세제 액체형 실내건조.jpg"</t>
  </si>
  <si>
    <t>"비트 마사지 건 HMS-12.jpg"</t>
  </si>
  <si>
    <t>"질레트 프로쉴드 옐로우 면도날 4입.jpg"</t>
  </si>
  <si>
    <t>"프링글스 리치치즈갈릭.jpg"</t>
  </si>
  <si>
    <t>"프링글스 버터카라멜.jpg"</t>
  </si>
  <si>
    <t>"프링글스 핫앤스파이시.jpg"</t>
  </si>
  <si>
    <t>"코주부 CLASSIC 육포 Mild 130g.jpg"</t>
  </si>
  <si>
    <t>"코주부 CLASSIC 육포 HOT &amp; SPICY 130g.jpg"</t>
  </si>
  <si>
    <t>"펩시제로슈거라임 500ml.jpg"</t>
  </si>
  <si>
    <t>"핫식스더킹러쉬 355ml.jpg"</t>
  </si>
  <si>
    <t>"핫식스더킹파워 355ml.jpg"</t>
  </si>
  <si>
    <t>"몬스터에너지 울트라 355ml.jpg"</t>
  </si>
  <si>
    <t>"햇반 130g.jpg"</t>
  </si>
  <si>
    <t>"햇반 210g.jpg"</t>
  </si>
  <si>
    <t>"햇반흑미밥 130g.jpg"</t>
  </si>
  <si>
    <t>"햇반 매일잡곡밥 210g.jpg"</t>
  </si>
  <si>
    <t>"오뚜기 컵누들 매콤한 맛.jpg"</t>
  </si>
  <si>
    <t>"쟈뎅 아워티 콤푸차 레몬 10p.jpg"</t>
  </si>
  <si>
    <t>"쟈뎅 아워티 콤푸차 베리 10p.jpg"</t>
  </si>
  <si>
    <t>"박카스맛젤리.jpg"</t>
  </si>
  <si>
    <t>"이클립스 페퍼민트향 34g.jpg"</t>
  </si>
  <si>
    <t>"이클립스 피치향 34g.jpg"</t>
  </si>
  <si>
    <t>"맥스빌더.jpg"</t>
  </si>
  <si>
    <t>"롯데햄 키스틱 더블치즈 소시지.jpg"</t>
  </si>
  <si>
    <t>"키스틱.jpg"</t>
  </si>
  <si>
    <t>"퀘이커 마시는오트밀 오트&amp;그레인, 50g.jpg"</t>
  </si>
  <si>
    <t>"퀘이커 마시는 오트밀 오트&amp;우리쌀, 50g.jpg"</t>
  </si>
  <si>
    <t>"퀘이커 마시는 오트밀 단백질, 80g.jpg"</t>
  </si>
  <si>
    <t>"퀘이커 마시는 오트밀 찰옥수수, 50g.jpg"</t>
  </si>
  <si>
    <t>"SNP 골드 콜라겐 앰플 마스크.jpg"</t>
  </si>
  <si>
    <t>"메디힐 디엔에이 프로아틴 마스크.jpg"</t>
  </si>
  <si>
    <t>"닥터지 메디유브이 울트라 선 50ml.jpg"</t>
  </si>
  <si>
    <t>"AHC 내추럴 퍼펙션 프레쉬선스틱.jpg"</t>
  </si>
  <si>
    <t>"AHC프라이빗 리얼아이크림기프트세트.jpg"</t>
  </si>
  <si>
    <t>"마녀공장 비피다 바이옴 수분 장벽 강화 크림 기획세트.jpg"</t>
  </si>
  <si>
    <t>"이니스프리 퍼펙트9인텐시브 크림.jpg"</t>
  </si>
  <si>
    <t>"닥터지 로얄 블랙스네일 크림.jpg"</t>
  </si>
  <si>
    <t>"아이소이 탄력크림EX.jpg"</t>
  </si>
  <si>
    <t>"다이아몬드 리페어 퍼펙트 세트.jpg"</t>
  </si>
  <si>
    <t>"닥터지 레드 블레미쉬 모이스처 클렌징 폼.jpg"</t>
  </si>
  <si>
    <t>"뉴트로지나 딥클린 아크네 포밍.jpg"</t>
  </si>
  <si>
    <t>""</t>
    <phoneticPr fontId="1" type="noConversion"/>
  </si>
  <si>
    <t>"ITEM_SORT_CODE"</t>
    <phoneticPr fontId="1" type="noConversion"/>
  </si>
  <si>
    <t>"상품명순"</t>
    <phoneticPr fontId="1" type="noConversion"/>
  </si>
  <si>
    <t>"판매량순"</t>
    <phoneticPr fontId="1" type="noConversion"/>
  </si>
  <si>
    <t>"낮은 가격순"</t>
    <phoneticPr fontId="1" type="noConversion"/>
  </si>
  <si>
    <t>"높은 가격순"</t>
    <phoneticPr fontId="1" type="noConversion"/>
  </si>
  <si>
    <t>주문</t>
    <phoneticPr fontId="1" type="noConversion"/>
  </si>
  <si>
    <t>주문 정보 관리</t>
    <phoneticPr fontId="1" type="noConversion"/>
  </si>
  <si>
    <t>장바구니 정보 관리</t>
    <phoneticPr fontId="1" type="noConversion"/>
  </si>
  <si>
    <t>상품 정보 관리</t>
    <phoneticPr fontId="1" type="noConversion"/>
  </si>
  <si>
    <t>주문상태코드</t>
    <phoneticPr fontId="1" type="noConversion"/>
  </si>
  <si>
    <t>ORDER_STATUS_CODE</t>
    <phoneticPr fontId="1" type="noConversion"/>
  </si>
  <si>
    <t>상품 1개 판매 가격</t>
    <phoneticPr fontId="1" type="noConversion"/>
  </si>
  <si>
    <t>"상품"</t>
    <phoneticPr fontId="1" type="noConversion"/>
  </si>
  <si>
    <t>SOLD_OUT_YN</t>
    <phoneticPr fontId="1" type="noConversion"/>
  </si>
  <si>
    <t>품절여부</t>
    <phoneticPr fontId="1" type="noConversion"/>
  </si>
  <si>
    <t>'N'</t>
    <phoneticPr fontId="1" type="noConversion"/>
  </si>
  <si>
    <t>최초등록자일련번호</t>
    <phoneticPr fontId="1" type="noConversion"/>
  </si>
  <si>
    <t>"$2a$10$/RP1PNTCBU.yGj7yZeUDl.wtjmQ4wJ2jHlWEEhBVmknc5HqHp8WDG"</t>
    <phoneticPr fontId="1" type="noConversion"/>
  </si>
  <si>
    <t>컴퍼넌트명</t>
    <phoneticPr fontId="1" type="noConversion"/>
  </si>
  <si>
    <t>COMPNT_NM</t>
    <phoneticPr fontId="1" type="noConversion"/>
  </si>
  <si>
    <t>MNU_INFO</t>
    <phoneticPr fontId="1" type="noConversion"/>
  </si>
  <si>
    <t>MNU_RMRK</t>
    <phoneticPr fontId="1" type="noConversion"/>
  </si>
  <si>
    <t>최종수정자일련번호</t>
    <phoneticPr fontId="1" type="noConversion"/>
  </si>
  <si>
    <t>UPPER_MNU_SEQ</t>
    <phoneticPr fontId="1" type="noConversion"/>
  </si>
  <si>
    <t>상위메뉴일련번호</t>
    <phoneticPr fontId="1" type="noConversion"/>
  </si>
  <si>
    <t>OPEN_YN</t>
    <phoneticPr fontId="1" type="noConversion"/>
  </si>
  <si>
    <t>COMPNT_PATH</t>
    <phoneticPr fontId="1" type="noConversion"/>
  </si>
  <si>
    <t>컴퍼넌트경로</t>
    <phoneticPr fontId="1" type="noConversion"/>
  </si>
  <si>
    <t>버전</t>
    <phoneticPr fontId="1" type="noConversion"/>
  </si>
  <si>
    <t>변경 내용</t>
    <phoneticPr fontId="1" type="noConversion"/>
  </si>
  <si>
    <t>최초 작성</t>
    <phoneticPr fontId="1" type="noConversion"/>
  </si>
  <si>
    <t>메뉴 테이블 변경</t>
    <phoneticPr fontId="1" type="noConversion"/>
  </si>
  <si>
    <t>토큰</t>
    <phoneticPr fontId="1" type="noConversion"/>
  </si>
  <si>
    <t>토큰 정보 관리</t>
    <phoneticPr fontId="1" type="noConversion"/>
  </si>
  <si>
    <t>TOKEN</t>
    <phoneticPr fontId="1" type="noConversion"/>
  </si>
  <si>
    <t>만료일시</t>
    <phoneticPr fontId="1" type="noConversion"/>
  </si>
  <si>
    <t>CREATE_DTTI</t>
    <phoneticPr fontId="1" type="noConversion"/>
  </si>
  <si>
    <t>EXPIRY_DTTI</t>
    <phoneticPr fontId="1" type="noConversion"/>
  </si>
  <si>
    <t>생성일시</t>
    <phoneticPr fontId="1" type="noConversion"/>
  </si>
  <si>
    <t>DEVICE_INFO</t>
    <phoneticPr fontId="1" type="noConversion"/>
  </si>
  <si>
    <t>기기정보</t>
    <phoneticPr fontId="1" type="noConversion"/>
  </si>
  <si>
    <t>FST_REG_DTTI</t>
    <phoneticPr fontId="1" type="noConversion"/>
  </si>
  <si>
    <t>LST_UPD_DTTI</t>
  </si>
  <si>
    <t>LST_UPD_DTTI</t>
    <phoneticPr fontId="1" type="noConversion"/>
  </si>
  <si>
    <t>"상품 관련 대메뉴"</t>
    <phoneticPr fontId="1" type="noConversion"/>
  </si>
  <si>
    <t>"상품 정보를 조회할 수 있는 메뉴입니다."</t>
    <phoneticPr fontId="1" type="noConversion"/>
  </si>
  <si>
    <t>"마켓"</t>
    <phoneticPr fontId="1" type="noConversion"/>
  </si>
  <si>
    <t>LST_UPD_SEQ</t>
  </si>
  <si>
    <t>URL</t>
    <phoneticPr fontId="1" type="noConversion"/>
  </si>
  <si>
    <t>"/market"</t>
    <phoneticPr fontId="1" type="noConversion"/>
  </si>
  <si>
    <t>"/admin"</t>
    <phoneticPr fontId="1" type="noConversion"/>
  </si>
  <si>
    <t>MODIFY_YN</t>
    <phoneticPr fontId="1" type="noConversion"/>
  </si>
  <si>
    <t>DETAIL_ORDER</t>
    <phoneticPr fontId="1" type="noConversion"/>
  </si>
  <si>
    <t>이행 데이터_상품 추가</t>
    <phoneticPr fontId="1" type="noConversion"/>
  </si>
  <si>
    <t>"과자"</t>
  </si>
  <si>
    <t>"음료"</t>
  </si>
  <si>
    <t>"즉석밥"</t>
  </si>
  <si>
    <t>"라면"</t>
  </si>
  <si>
    <t>"차"</t>
  </si>
  <si>
    <t>"캔디"</t>
  </si>
  <si>
    <t>"기타"</t>
  </si>
  <si>
    <t>"소세지"</t>
  </si>
  <si>
    <t>"쉐이크"</t>
  </si>
  <si>
    <t>"0110"</t>
  </si>
  <si>
    <t>"소스"</t>
  </si>
  <si>
    <t>"0111"</t>
  </si>
  <si>
    <t>"건강"</t>
  </si>
  <si>
    <t>"마스크팩"</t>
  </si>
  <si>
    <t>"선크림"</t>
  </si>
  <si>
    <t>"아이크림"</t>
  </si>
  <si>
    <t>"영양크림"</t>
  </si>
  <si>
    <t>"폼클렌징"</t>
  </si>
  <si>
    <t>"0206"</t>
  </si>
  <si>
    <t>"토너"</t>
  </si>
  <si>
    <t>"디퓨저"</t>
  </si>
  <si>
    <t>"세탁"</t>
  </si>
  <si>
    <t>"안마기"</t>
  </si>
  <si>
    <t>"면도기"</t>
  </si>
  <si>
    <t>"0305"</t>
  </si>
  <si>
    <t>"구강"</t>
  </si>
  <si>
    <t>"0306"</t>
  </si>
  <si>
    <t>"두피"</t>
  </si>
  <si>
    <t>"0307"</t>
  </si>
  <si>
    <t>"바디"</t>
  </si>
  <si>
    <t>"0308"</t>
  </si>
  <si>
    <t>"의류"</t>
  </si>
  <si>
    <t>"ITEM_DTL_TYPE_CODE"</t>
  </si>
  <si>
    <t>"0207"</t>
  </si>
  <si>
    <t>"로션/에멀전"</t>
  </si>
  <si>
    <t>"N"</t>
  </si>
  <si>
    <t>"0208"</t>
  </si>
  <si>
    <t>"에센스/세럼/앰플"</t>
  </si>
  <si>
    <t>"0209"</t>
  </si>
  <si>
    <t>""</t>
  </si>
  <si>
    <t>"프링글스 양파맛"</t>
  </si>
  <si>
    <t>"프링글스 양파맛.jpg"</t>
  </si>
  <si>
    <t>"키커바.jpg"</t>
  </si>
  <si>
    <t>"맛있는 오뚜기밥 210g.jpg"</t>
  </si>
  <si>
    <t>"쟈뎅 아워티 콤푸차 자몽 10p.jpg"</t>
  </si>
  <si>
    <t>"닥터지 레드 블레미쉬 클리어 수딩 토너, 500ml"</t>
  </si>
  <si>
    <t>"닥터지 레드 블레미쉬 클리어 수딩 토너, 500ml.jpg"</t>
  </si>
  <si>
    <t>"데체코 올리오 엑스트라 버진 디 올리바, 1L"</t>
  </si>
  <si>
    <t>"데체코 올리오 엑스트라 버진 디 올리바, 1L.jpg"</t>
  </si>
  <si>
    <t>"바세린 리프팅 리페어 로션 450ml"</t>
  </si>
  <si>
    <t>"바세린 리프팅 리페어 로션 450ml.jpg"</t>
  </si>
  <si>
    <t>"라운드랩 1025 독도 수분 워터겔 마스크 30ml"</t>
  </si>
  <si>
    <t>"라운드랩 1025 독도 수분 워터겔 마스크 30ml.jpg"</t>
  </si>
  <si>
    <t>"메디힐 WHP 미백수분 블랙마스크"</t>
  </si>
  <si>
    <t>"메디힐 WHP 미백수분 블랙마스크.jpg"</t>
  </si>
  <si>
    <t>"니베아 맨 센서티브 쉐이빙 폼, 250ml"</t>
  </si>
  <si>
    <t>"니베아 맨 센서티브 쉐이빙 폼, 250ml.jpg"</t>
  </si>
  <si>
    <t>"부케가르니 나드 샴푸 시그니처 500ml"</t>
  </si>
  <si>
    <t>"부케가르니 나드 샴푸 시그니처 500ml.jpg"</t>
  </si>
  <si>
    <t>"비알티씨 파워 옴므 올인원 솔루션 기획세트 200ML+50ML"</t>
  </si>
  <si>
    <t>"비알티씨 파워 옴므 올인원 솔루션 기획세트 200ML+50ML.jpg"</t>
  </si>
  <si>
    <t>"비욘드 바디 디펜스 샤워 450ml"</t>
  </si>
  <si>
    <t>"비욘드 바디 디펜스 샤워 450ml.jpg"</t>
  </si>
  <si>
    <t>"비욘드 바디 디펜스 에멀전 450ml"</t>
  </si>
  <si>
    <t>"비욘드 바디 디펜스 에멀전 450ml.jpg"</t>
  </si>
  <si>
    <t>"비원즈 피토 콜라겐 아이세럼스틱 15ml"</t>
  </si>
  <si>
    <t>"비원즈 피토 콜라겐 아이세럼스틱 15ml.jpg"</t>
  </si>
  <si>
    <t>"센카 퍼팩트 휩 페이셜 워시"</t>
  </si>
  <si>
    <t>"센카 퍼팩트 휩 페이셜 워시.jpg"</t>
  </si>
  <si>
    <t>"센텔리안 24 마데카 베리어 바디로션 500ml"</t>
  </si>
  <si>
    <t>"센텔리안 24 마데카 베리어 바디로션 500ml.jpg"</t>
  </si>
  <si>
    <t>"센텔리안 24 마데카 옴프 올인원 125ml"</t>
  </si>
  <si>
    <t>"센텔리안 24 마데카 옴프 올인원 125ml.jpg"</t>
  </si>
  <si>
    <t>"센텔리안24 링클셀 코어 아이크림"</t>
  </si>
  <si>
    <t>"센텔리안24 링클셀 코어 아이크림.jpg"</t>
  </si>
  <si>
    <t>"셀퓨전씨 데일리 리페어 레이저크림 50ml"</t>
  </si>
  <si>
    <t>"셀퓨전씨 데일리 리페어 레이저크림 50ml.jpg"</t>
  </si>
  <si>
    <t>"셀퓨젼시 카밍다운크림 35ml"</t>
  </si>
  <si>
    <t>"셀퓨젼시 카밍다운크림 35ml.jpg"</t>
  </si>
  <si>
    <t>"아누아 어성초 80 수분 진정 앰플"</t>
  </si>
  <si>
    <t>"아누아 어성초 80 수분 진정 앰플.jpg"</t>
  </si>
  <si>
    <t>"아누아 어성초70 데일리 로션 200ml"</t>
  </si>
  <si>
    <t>"아누아 어성초70 데일리 로션 200ml.jpg"</t>
  </si>
  <si>
    <t>"아비브 부활초 크림 뉴트리션 튜브"</t>
  </si>
  <si>
    <t>"아비브 부활초 크림 뉴트리션 튜브.jpg"</t>
  </si>
  <si>
    <t>"아비브 수분초 콜라겐 젤 마스크팩"</t>
  </si>
  <si>
    <t>"아비브 수분초 콜라겐 젤 마스크팩.jpg"</t>
  </si>
  <si>
    <t>"아비브 아크네 폼 클렌저 어성초 150ml"</t>
  </si>
  <si>
    <t>"아비브 아크네 폼 클렌저 어성초 150ml.jpg"</t>
  </si>
  <si>
    <t>"아비브 약산성 pH 시트 마스크"</t>
  </si>
  <si>
    <t>"아비브 약산성 pH 시트 마스크.jpg"</t>
  </si>
  <si>
    <t>"아비브 어성초 에센스 카밍펌프 50ml"</t>
  </si>
  <si>
    <t>"아비브 어성초 에센스 카밍펌프 50ml.jpg"</t>
  </si>
  <si>
    <t>"아이브 부활초 크림 뉴트리션 튜브"</t>
  </si>
  <si>
    <t>"아이브 부활초 크림 뉴트리션 튜브.jpg"</t>
  </si>
  <si>
    <t>"아이소이 블레미쉬 케어 업 크림"</t>
  </si>
  <si>
    <t>"아이소이 블레미쉬 케어 업 크림.jpg"</t>
  </si>
  <si>
    <t>"아이소이 인텐시브 리프팅 스팟 25ml"</t>
  </si>
  <si>
    <t>"아이소이 인텐시브 리프팅 스팟 25ml.jpg"</t>
  </si>
  <si>
    <t>"액티브 프로 바이오틱스"</t>
  </si>
  <si>
    <t>"액티브 프로 바이오틱스.jpg"</t>
  </si>
  <si>
    <t>"이니스프리 시카밤 40ml"</t>
  </si>
  <si>
    <t>"이니스프리 시카밤 40ml.jpg"</t>
  </si>
  <si>
    <t>"자민경크레마카발로 오일 투 폼 110ml(클렌징폼)"</t>
  </si>
  <si>
    <t>"자민경크레마카발로 오일 투 폼 110ml(클렌징폼).jpg"</t>
  </si>
  <si>
    <t>"해피바스 오리지널 컬렉션 바디워시 체리블로섬향, 910g"</t>
  </si>
  <si>
    <t>"해피바스 오리지널 컬렉션 바디워시 체리블로섬향, 910g.jpg"</t>
  </si>
  <si>
    <t>"청정원 프리미엄 굴소스, 500g"</t>
  </si>
  <si>
    <t>"청정원 프리미엄 굴소스, 500g.jpg"</t>
  </si>
  <si>
    <t>"오뚜기 가쓰오부시장국, 360ml"</t>
  </si>
  <si>
    <t>"오뚜기 가쓰오부시장국, 360ml.jpg"</t>
  </si>
  <si>
    <t>"고소한 건강 생각 참기름"</t>
  </si>
  <si>
    <t>"고소한 건강 생각 참기름.jpg"</t>
  </si>
  <si>
    <t>"까스활액"</t>
  </si>
  <si>
    <t>"까스활액.jpg"</t>
  </si>
  <si>
    <t>"꼬마웨하스바닐라맛"</t>
  </si>
  <si>
    <t>"꼬마웨하스바닐라맛.jpg"</t>
  </si>
  <si>
    <t>"꽃샘 피어나다 국화 유자, 350g"</t>
  </si>
  <si>
    <t>"꽃샘 피어나다 국화 유자, 350g.jpg"</t>
  </si>
  <si>
    <t>"꽃샘 피어나다 히비스커스 자몽, 350g"</t>
  </si>
  <si>
    <t>"꽃샘 피어나다 히비스커스 자몽, 350g.jpg"</t>
  </si>
  <si>
    <t>"꿀타이밍 야생화스틱15T"</t>
  </si>
  <si>
    <t>"꿀타이밍 야생화스틱15T.jpg"</t>
  </si>
  <si>
    <t>"나랑드사이다 245ml"</t>
  </si>
  <si>
    <t>"나랑드사이다 245ml.jpg"</t>
  </si>
  <si>
    <t>"나랑드사이다 그린애플 245ml"</t>
  </si>
  <si>
    <t>"나랑드사이다 그린애플 245ml.jpg"</t>
  </si>
  <si>
    <t>"나랑드사이다 파인애플 245ml"</t>
  </si>
  <si>
    <t>"나랑드사이다 파인애플 245ml.jpg"</t>
  </si>
  <si>
    <t>"데미소다 복숭아, 250ml"</t>
  </si>
  <si>
    <t>"데미소다 복숭아, 250ml.jpg"</t>
  </si>
  <si>
    <t>"동원참치 고추 참치 4개 90g"</t>
  </si>
  <si>
    <t>"동원참치 고추 참치 4개 90g.jpg"</t>
  </si>
  <si>
    <t>"동원참치 라이트스탠다드 4개 90g"</t>
  </si>
  <si>
    <t>"동원참치 라이트스탠다드 4개 90g.jpg"</t>
  </si>
  <si>
    <t>"크라운 NEW 롱스"</t>
  </si>
  <si>
    <t>"크라운 NEW 롱스.jpg"</t>
  </si>
  <si>
    <t>"몽쉘카카오케이크 6개입"</t>
  </si>
  <si>
    <t>"몽쉘카카오케이크 6개입.jpg"</t>
  </si>
  <si>
    <t>"밀키스제로 250ml"</t>
  </si>
  <si>
    <t>"밀키스제로 250ml.jpg"</t>
  </si>
  <si>
    <t>"박카스"</t>
  </si>
  <si>
    <t>"박카스.jpg"</t>
  </si>
  <si>
    <t>"더프트앤도프트 파인 프라그란스 바디미스트 핑크브리즈향, 150ml"</t>
  </si>
  <si>
    <t>"더프트앤도프트 파인 프라그란스 바디미스트 핑크브리즈향, 150ml.jpg"</t>
  </si>
  <si>
    <t>"닥터지 그린 마일드 업 선 스틱, 20g"</t>
  </si>
  <si>
    <t>"닥터지 그린 마일드 업 선 스틱, 20g.jpg"</t>
  </si>
  <si>
    <t>"닥터자르트 바이탈 하이드라 솔루션 하이드로 플럼프 트리트먼트 에센스, 150ml"</t>
  </si>
  <si>
    <t>"닥터자르트 바이탈 하이드라 솔루션 하이드로 플럼프 트리트먼트 에센스, 150ml.jpg"</t>
  </si>
  <si>
    <t>"듀이트리 울트라 바이탈라이징 스네일 에센스워터, 150ml"</t>
  </si>
  <si>
    <t>"듀이트리 울트라 바이탈라이징 스네일 에센스워터, 150ml.jpg"</t>
  </si>
  <si>
    <t>"정관장 홍삼보운 40ml x 30개입"</t>
  </si>
  <si>
    <t>"정관장 홍삼보운 40ml x 30개입.jpg"</t>
  </si>
  <si>
    <t>"AHC 에이치 멜라 루트 크림(AHC 기미크림)"</t>
  </si>
  <si>
    <t>"AHC 에이치 멜라 루트 크림(AHC 기미크림).jpg"</t>
  </si>
  <si>
    <t>"닥터지 블랙 스네일크림, 50ml"</t>
  </si>
  <si>
    <t>"닥터지 블랙 스네일크림, 50ml.jpg"</t>
  </si>
  <si>
    <t>"닥터지 더모이스처 배리어 D 로션, 200ml"</t>
  </si>
  <si>
    <t>"닥터지 더모이스처 배리어 D 로션, 200ml.jpg"</t>
  </si>
  <si>
    <t>"닥터지 레드 블레미쉬 클리어 크림, 70ml"</t>
  </si>
  <si>
    <t>"닥터지 레드 블레미쉬 클리어 크림, 70ml.jpg"</t>
  </si>
  <si>
    <t>"닥터지 로얄 블랙 스네일 탄력 스페셜 세트 (에센스 + 크림 + 아이크림 + 마스크팩)"</t>
  </si>
  <si>
    <t>"닥터지 로얄 블랙 스네일 탄력 스페셜 세트 (에센스 + 크림 + 아이크림 + 마스크팩).jpg"</t>
  </si>
  <si>
    <t>"듀이트리 울트라 바이탈라이징 스네일 달팽이 3종 세트"</t>
  </si>
  <si>
    <t>"듀이트리 울트라 바이탈라이징 스네일 달팽이 3종 세트.jpg"</t>
  </si>
  <si>
    <t>"듀이트리 울트라 바이탈라이징 스네일 크림 80ml+샘플 10ml"</t>
  </si>
  <si>
    <t>"듀이트리 울트라 바이탈라이징 스네일 크림 80ml+샘플 10ml.jpg"</t>
  </si>
  <si>
    <t>"라운드랩 약콩 판테놀 크림, 80ml"</t>
  </si>
  <si>
    <t>"라운드랩 약콩 판테놀 크림, 80ml.jpg"</t>
  </si>
  <si>
    <t>"제주앤팜 레몬차 스틱 10p"</t>
  </si>
  <si>
    <t>"제주앤팜 레몬차 스틱 10p.jpg"</t>
  </si>
  <si>
    <t>"제주앤팜 한라봉차 10p"</t>
  </si>
  <si>
    <t>"제주앤팜 한라봉차 10p.jpg"</t>
  </si>
  <si>
    <t>"이클립스 쿨링 소프트 캔디 레몬민트향 45g"</t>
  </si>
  <si>
    <t>"이클립스 쿨링 소프트 캔디 레몬민트향 45g.jpg"</t>
  </si>
  <si>
    <t>"라운드랩 1025 독도 토너 대용량, 500ml"</t>
  </si>
  <si>
    <t>"라운드랩 1025 독도 토너 대용량, 500ml.jpg"</t>
  </si>
  <si>
    <t>"마녀공장 퓨리파잉 소다폼, 150ml"</t>
  </si>
  <si>
    <t>"마녀공장 퓨리파잉 소다폼, 150ml.jpg"</t>
  </si>
  <si>
    <t>"백설 자일로스 설탕 1kg"</t>
  </si>
  <si>
    <t>"백설 자일로스 설탕 1kg.jpg"</t>
  </si>
  <si>
    <t>"백설 찍어먹는 트러플 솔트 50g"</t>
  </si>
  <si>
    <t>"백설 찍어먹는 트러플 솔트 50g.jpg"</t>
  </si>
  <si>
    <t>"봉편촌메밀국수2호 850g"</t>
  </si>
  <si>
    <t>"봉편촌메밀국수2호 850g.jpg"</t>
  </si>
  <si>
    <t>"빼빼로 오리지널"</t>
  </si>
  <si>
    <t>"빼빼로 오리지널.jpg"</t>
  </si>
  <si>
    <t>"스페셜k 오리지날 480g"</t>
  </si>
  <si>
    <t>"스페셜k 오리지날 480g.jpg"</t>
  </si>
  <si>
    <t>"아몬드 빼빼로"</t>
  </si>
  <si>
    <t>"아몬드 빼빼로.jpg"</t>
  </si>
  <si>
    <t>"아몬드초코볼"</t>
  </si>
  <si>
    <t>"아몬드초코볼.jpg"</t>
  </si>
  <si>
    <t>"아몬드푸레이크"</t>
  </si>
  <si>
    <t>"아몬드푸레이크.jpg"</t>
  </si>
  <si>
    <t>"안성탕면"</t>
  </si>
  <si>
    <t>"안성탕면.jpg"</t>
  </si>
  <si>
    <t>"엄마손파이"</t>
  </si>
  <si>
    <t>"엄마손파이.jpg"</t>
  </si>
  <si>
    <t>"졸음번쩍껌 울트라파워"</t>
  </si>
  <si>
    <t>"졸음번쩍껌 울트라파워.jpg"</t>
  </si>
  <si>
    <t>"짜파게티 만능소스 280g"</t>
  </si>
  <si>
    <t>"짜파게티 만능소스 280g.jpg"</t>
  </si>
  <si>
    <t>"첵스초코 570g"</t>
  </si>
  <si>
    <t>"첵스초코 570g.jpg"</t>
  </si>
  <si>
    <t>"초코틴인틴"</t>
  </si>
  <si>
    <t>"초코틴인틴.jpg"</t>
  </si>
  <si>
    <t>"오리온 초코파이 정 468g"</t>
  </si>
  <si>
    <t>"오리온 초코파이 정 468g.jpg"</t>
  </si>
  <si>
    <t>"칠성사이다제로(250ml)"</t>
  </si>
  <si>
    <t>"칠성사이다제로(250ml).jpg"</t>
  </si>
  <si>
    <t>"칠성사이다제로(500ml)"</t>
  </si>
  <si>
    <t>"칠성사이다제로(500ml).jpg"</t>
  </si>
  <si>
    <t>"콘트라베이스디카페인블랙 500ml"</t>
  </si>
  <si>
    <t>"콘트라베이스디카페인블랙 500ml.jpg"</t>
  </si>
  <si>
    <t>"쿠크다스케이크"</t>
  </si>
  <si>
    <t>"쿠크다스케이크.jpg"</t>
  </si>
  <si>
    <t>"크라운산도딸기"</t>
  </si>
  <si>
    <t>"크라운산도딸기.jpg"</t>
  </si>
  <si>
    <t>"크런키 빼빼로"</t>
  </si>
  <si>
    <t>"크런키 빼빼로.jpg"</t>
  </si>
  <si>
    <t>"키캣 4핑거"</t>
  </si>
  <si>
    <t>"키캣 4핑거.jpg"</t>
  </si>
  <si>
    <t>"탑플롯젤리 망고맛 320g"</t>
  </si>
  <si>
    <t>"탑플롯젤리 망고맛 320g.jpg"</t>
  </si>
  <si>
    <t>"틴인틴"</t>
  </si>
  <si>
    <t>"틴인틴.jpg"</t>
  </si>
  <si>
    <t>"프링글스 오리지날"</t>
  </si>
  <si>
    <t>"프링글스 오리지날.jpg"</t>
  </si>
  <si>
    <t>"피시스낵 스파이스맛"</t>
  </si>
  <si>
    <t>"피시스낵 스파이스맛.jpg"</t>
  </si>
  <si>
    <t>"핫식스더킹크러쉬피치 355ml"</t>
  </si>
  <si>
    <t>"핫식스더킹크러쉬피치 355ml.jpg"</t>
  </si>
  <si>
    <t>"화이트쿠키 빼뺴로.jpg"</t>
  </si>
  <si>
    <t>"후레쉬베리 6개입"</t>
  </si>
  <si>
    <t>"후레쉬베리 6개입.jpg"</t>
  </si>
  <si>
    <t>"질레트프로글라이드"</t>
  </si>
  <si>
    <t>"질레트프로글라이드.jpg"</t>
  </si>
  <si>
    <t>"2080닥터크리닉잇몸치약(3개 묶음)"</t>
  </si>
  <si>
    <t>"2080닥터크리닉잇몸치약(3개 묶음).jpg"</t>
  </si>
  <si>
    <t>"AIR MESH 로카티 GMR904"</t>
  </si>
  <si>
    <t>"AIR MESH 로카티 GMR904.jpg"</t>
  </si>
  <si>
    <t>"ROKA 반팔티"</t>
  </si>
  <si>
    <t>"ROKA 반팔티.jpg"</t>
  </si>
  <si>
    <t>"고농축피죤 써니가든 1.6L"</t>
  </si>
  <si>
    <t>"고농축피죤 써니가든 1.6L.jpg"</t>
  </si>
  <si>
    <t>"고농축피죤 플라워페스티벌 2.3L"</t>
  </si>
  <si>
    <t>"고농축피죤 플라워페스티벌 2.3L.jpg"</t>
  </si>
  <si>
    <t>"2080 덴탈크리닉 뉴샤이닝 화이트 치약, 140g"</t>
  </si>
  <si>
    <t>"2080 덴탈크리닉 뉴샤이닝 화이트 치약, 140g.jpg"</t>
  </si>
  <si>
    <t>"스팀베이스 데일리 아이마스크 라벤더향, 14매입"</t>
  </si>
  <si>
    <t>"스팀베이스 데일리 아이마스크 라벤더향, 14매입.jpg"</t>
  </si>
  <si>
    <t>"라보에이치 프로바이오틱스 탈모증상완화 샴푸 두피쿨링, 400ml"</t>
  </si>
  <si>
    <t>"라보에이치 프로바이오틱스 탈모증상완화 샴푸 두피쿨링, 400ml.jpg"</t>
  </si>
  <si>
    <t>"려 흑운 모근강화 볼륨케어 샴푸, 500ml"</t>
  </si>
  <si>
    <t>"려 흑운 모근강화 볼륨케어 샴푸, 500ml.jpg"</t>
  </si>
  <si>
    <t>"마데카메디패치스팟패피 51매"</t>
  </si>
  <si>
    <t>"마데카메디패치스팟패피 51매.jpg"</t>
  </si>
  <si>
    <t>"메디안 미백과학 치약 플럼민트향"</t>
  </si>
  <si>
    <t>"메디안 미백과학 치약 플럼민트향.jpg"</t>
  </si>
  <si>
    <t>"불스원 그라스 디퓨저 코튼향(차량방향제)"</t>
  </si>
  <si>
    <t>"불스원 그라스 디퓨저 코튼향(차량방향제).jpg"</t>
  </si>
  <si>
    <t>"뷰카 클래식 고불소 구취케어 치약 아쿠아민트향 210g 4개"</t>
  </si>
  <si>
    <t>"뷰카 클래식 고불소 구취케어 치약 아쿠아민트향 210g 4개.jpg"</t>
  </si>
  <si>
    <t>"비트 트리플액션 2.8L(일반)"</t>
  </si>
  <si>
    <t>"비트 트리플액션 2.8L(일반).jpg"</t>
  </si>
  <si>
    <t>"스킨유 이노센트 컴포티우디 샤워젤 500ml"</t>
  </si>
  <si>
    <t>"스킨유 이노센트 컴포티우디 샤워젤 500ml.jpg"</t>
  </si>
  <si>
    <t>"아워티 핑크리치 캐모마일티 8p"</t>
  </si>
  <si>
    <t>"아워티 핑크리치 캐모마일티 8p.jpg"</t>
  </si>
  <si>
    <t>"액츠프리미엄젤 프레쉬 2.7L"</t>
  </si>
  <si>
    <t>"액츠프리미엄젤 프레쉬 2.7L.jpg"</t>
  </si>
  <si>
    <t>"에코버 울세탁세제 허니듀 750ml"</t>
  </si>
  <si>
    <t>"에코버 울세탁세제 허니듀 750ml.jpg"</t>
  </si>
  <si>
    <t>"엘지생활건강 히말라야 핑크솔트 담은 펌핑 치약 아이스 카밍 민트 285g"</t>
  </si>
  <si>
    <t>"엘지생활건강 히말라야 핑크솔트 담은 펌핑 치약 아이스 카밍 민트 285g.jpg"</t>
  </si>
  <si>
    <t>"왕고래밥볶음양념맛"</t>
  </si>
  <si>
    <t>"왕고래밥볶음양념맛.jpg"</t>
  </si>
  <si>
    <t>"케라시스 러블리앤로맨틱 퍼퓸샴푸 980ml"</t>
  </si>
  <si>
    <t>"케라시스 러블리앤로맨틱 퍼퓸샴푸 980ml.jpg"</t>
  </si>
  <si>
    <t>"코오롱 ROKA 반팔티 런닝"</t>
  </si>
  <si>
    <t>"코오롱 ROKA 반팔티 런닝.jpg"</t>
  </si>
  <si>
    <t>"코오롱 ROKA 반팔티"</t>
  </si>
  <si>
    <t>"코오롱 ROKA 반팔티.jpg"</t>
  </si>
  <si>
    <t>"테크 특유취 제거 2.7L(일반용)"</t>
  </si>
  <si>
    <t>"테크 특유취 제거 2.7L(일반용).jpg"</t>
  </si>
  <si>
    <t>"티트리 퓨리파잉 토닉 100ml"</t>
  </si>
  <si>
    <t>"티트리 퓨리파잉 토닉 100ml.jpg"</t>
  </si>
  <si>
    <t>"하이뮨 프로틴 밸런스"</t>
  </si>
  <si>
    <t>"하이뮨 프로틴 밸런스.jpg"</t>
  </si>
  <si>
    <t>"히말라야 핑크솔트 담은 칫솔"</t>
  </si>
  <si>
    <t>"히말라야 핑크솔트 담은 칫솔.jpg"</t>
  </si>
  <si>
    <t>"듀이트리 울트라 바이탈라이징 스네일 에멀전, 150ml"</t>
  </si>
  <si>
    <t>"듀이트리 울트라 바이탈라이징 스네일 에멀전, 150ml.jpg"</t>
  </si>
  <si>
    <t>메뉴 테이블 데이터 변경</t>
    <phoneticPr fontId="1" type="noConversion"/>
  </si>
  <si>
    <t>"/market/itemList"</t>
    <phoneticPr fontId="1" type="noConversion"/>
  </si>
  <si>
    <t>"itemList"</t>
    <phoneticPr fontId="1" type="noConversion"/>
  </si>
  <si>
    <t>"/market/basket"</t>
    <phoneticPr fontId="1" type="noConversion"/>
  </si>
  <si>
    <t>"장바구니 정보를 조회할 수 있는 메뉴입니다."</t>
    <phoneticPr fontId="1" type="noConversion"/>
  </si>
  <si>
    <t>"basket"</t>
    <phoneticPr fontId="1" type="noConversion"/>
  </si>
  <si>
    <t>ORDER_STATUS_DTL</t>
    <phoneticPr fontId="1" type="noConversion"/>
  </si>
  <si>
    <t>주문상태상세</t>
    <phoneticPr fontId="1" type="noConversion"/>
  </si>
  <si>
    <t>"ORDER_STATUS_CODE"</t>
    <phoneticPr fontId="1" type="noConversion"/>
  </si>
  <si>
    <t>"주문상태코드"</t>
    <phoneticPr fontId="1" type="noConversion"/>
  </si>
  <si>
    <t>"상품정렬코드"</t>
    <phoneticPr fontId="1" type="noConversion"/>
  </si>
  <si>
    <t>"상품상세분류코드"</t>
    <phoneticPr fontId="1" type="noConversion"/>
  </si>
  <si>
    <t>"상품분류코드"</t>
    <phoneticPr fontId="1" type="noConversion"/>
  </si>
  <si>
    <t>"정책코드"</t>
    <phoneticPr fontId="1" type="noConversion"/>
  </si>
  <si>
    <t>"로그인유형코드"</t>
    <phoneticPr fontId="1" type="noConversion"/>
  </si>
  <si>
    <t>"로그인정보불필요URI코드"</t>
    <phoneticPr fontId="1" type="noConversion"/>
  </si>
  <si>
    <t>"11"</t>
    <phoneticPr fontId="1" type="noConversion"/>
  </si>
  <si>
    <t>"12"</t>
    <phoneticPr fontId="1" type="noConversion"/>
  </si>
  <si>
    <t>"91"</t>
    <phoneticPr fontId="1" type="noConversion"/>
  </si>
  <si>
    <t>"구매요청"</t>
    <phoneticPr fontId="1" type="noConversion"/>
  </si>
  <si>
    <t>"배송중"</t>
    <phoneticPr fontId="1" type="noConversion"/>
  </si>
  <si>
    <t>"미결제"</t>
    <phoneticPr fontId="1" type="noConversion"/>
  </si>
  <si>
    <t>"구매완료"</t>
    <phoneticPr fontId="1" type="noConversion"/>
  </si>
  <si>
    <t>"품절"</t>
    <phoneticPr fontId="1" type="noConversion"/>
  </si>
  <si>
    <t>"취소"</t>
    <phoneticPr fontId="1" type="noConversion"/>
  </si>
  <si>
    <t>ORDER_SEQ</t>
    <phoneticPr fontId="1" type="noConversion"/>
  </si>
  <si>
    <t>주문일련번호</t>
    <phoneticPr fontId="1" type="noConversion"/>
  </si>
  <si>
    <t>"/market/order"</t>
    <phoneticPr fontId="1" type="noConversion"/>
  </si>
  <si>
    <t>"order"</t>
    <phoneticPr fontId="1" type="noConversion"/>
  </si>
  <si>
    <t>"주문내역"</t>
    <phoneticPr fontId="1" type="noConversion"/>
  </si>
  <si>
    <t>"주문내역 정보를 조회할 수 있는 메뉴입니다."</t>
    <phoneticPr fontId="1" type="noConversion"/>
  </si>
  <si>
    <t>ORDER_DTTI</t>
    <phoneticPr fontId="1" type="noConversion"/>
  </si>
  <si>
    <t>주문일시</t>
    <phoneticPr fontId="1" type="noConversion"/>
  </si>
  <si>
    <t>"/market/itemNew"</t>
    <phoneticPr fontId="1" type="noConversion"/>
  </si>
  <si>
    <t>"신규상품주문"</t>
    <phoneticPr fontId="1" type="noConversion"/>
  </si>
  <si>
    <t>"itemNew"</t>
    <phoneticPr fontId="1" type="noConversion"/>
  </si>
  <si>
    <t>"신규상품주문 정보를 조회할 수 있는 메뉴입니다."</t>
    <phoneticPr fontId="1" type="noConversion"/>
  </si>
  <si>
    <t>신규상품주문</t>
    <phoneticPr fontId="1" type="noConversion"/>
  </si>
  <si>
    <t>신규상품주문 정보 관리</t>
    <phoneticPr fontId="1" type="noConversion"/>
  </si>
  <si>
    <t>NEW_ORDER_SEQ</t>
    <phoneticPr fontId="1" type="noConversion"/>
  </si>
  <si>
    <t>신규상품주문일련번호</t>
    <phoneticPr fontId="1" type="noConversion"/>
  </si>
  <si>
    <t>NEW_ORDER_DTL</t>
    <phoneticPr fontId="1" type="noConversion"/>
  </si>
  <si>
    <t>신규상품주문상세</t>
    <phoneticPr fontId="1" type="noConversion"/>
  </si>
  <si>
    <t>신규상품주문상세 설명</t>
    <phoneticPr fontId="1" type="noConversion"/>
  </si>
  <si>
    <t>테이블명 소문자로 변경</t>
    <phoneticPr fontId="1" type="noConversion"/>
  </si>
  <si>
    <t>tb_user</t>
    <phoneticPr fontId="1" type="noConversion"/>
  </si>
  <si>
    <t>tb_code_group</t>
    <phoneticPr fontId="1" type="noConversion"/>
  </si>
  <si>
    <t>tb_code_detail</t>
    <phoneticPr fontId="1" type="noConversion"/>
  </si>
  <si>
    <t>tb_log_login</t>
    <phoneticPr fontId="1" type="noConversion"/>
  </si>
  <si>
    <t>tb_log_req</t>
    <phoneticPr fontId="1" type="noConversion"/>
  </si>
  <si>
    <t>tb_board_notice</t>
    <phoneticPr fontId="1" type="noConversion"/>
  </si>
  <si>
    <t>tb_atcfile</t>
    <phoneticPr fontId="1" type="noConversion"/>
  </si>
  <si>
    <t>tb_poli</t>
    <phoneticPr fontId="1" type="noConversion"/>
  </si>
  <si>
    <t>tb_mnu</t>
    <phoneticPr fontId="1" type="noConversion"/>
  </si>
  <si>
    <t>tb_role</t>
    <phoneticPr fontId="1" type="noConversion"/>
  </si>
  <si>
    <t>tb_user_role_map</t>
    <phoneticPr fontId="1" type="noConversion"/>
  </si>
  <si>
    <t>tb_auth</t>
    <phoneticPr fontId="1" type="noConversion"/>
  </si>
  <si>
    <t>tb_token</t>
    <phoneticPr fontId="1" type="noConversion"/>
  </si>
  <si>
    <t>tb_item</t>
    <phoneticPr fontId="1" type="noConversion"/>
  </si>
  <si>
    <t>tb_basket</t>
    <phoneticPr fontId="1" type="noConversion"/>
  </si>
  <si>
    <t>tb_order</t>
    <phoneticPr fontId="1" type="noConversion"/>
  </si>
  <si>
    <t>tb_new_order</t>
    <phoneticPr fontId="1" type="noConversion"/>
  </si>
  <si>
    <t>"주문관리"</t>
    <phoneticPr fontId="1" type="noConversion"/>
  </si>
  <si>
    <t>"mngOrder"</t>
    <phoneticPr fontId="1" type="noConversion"/>
  </si>
  <si>
    <t>"/admin/mngOrder"</t>
    <phoneticPr fontId="1" type="noConversion"/>
  </si>
  <si>
    <t>"최신순"</t>
    <phoneticPr fontId="1" type="noConversion"/>
  </si>
  <si>
    <t>"11"</t>
  </si>
  <si>
    <t>구매자명</t>
    <phoneticPr fontId="1" type="noConversion"/>
  </si>
  <si>
    <t>"고우호 매니저"</t>
  </si>
  <si>
    <t>"user21"</t>
    <phoneticPr fontId="1" type="noConversion"/>
  </si>
  <si>
    <t>"user22"</t>
  </si>
  <si>
    <t>"user23"</t>
  </si>
  <si>
    <t>"user24"</t>
  </si>
  <si>
    <t>"김미숙쌤"</t>
  </si>
  <si>
    <t>"김상민"</t>
  </si>
  <si>
    <t>"김승련 팀장님"</t>
  </si>
  <si>
    <t>"김승환"</t>
  </si>
  <si>
    <t>"김영희쌤"</t>
  </si>
  <si>
    <t>"김태연 프로"</t>
  </si>
  <si>
    <t>"김현국 프로"</t>
  </si>
  <si>
    <t>"김희영쌤"</t>
  </si>
  <si>
    <t>"문미경쌤"</t>
  </si>
  <si>
    <t>"박미정쌤"</t>
  </si>
  <si>
    <t>"박진옥쌤"</t>
  </si>
  <si>
    <t>"서상렬 매니저"</t>
  </si>
  <si>
    <t>"신유수 매니저"</t>
  </si>
  <si>
    <t>"아부지"</t>
  </si>
  <si>
    <t>"안대원 매니저"</t>
  </si>
  <si>
    <t>"어무이"</t>
  </si>
  <si>
    <t>"이규진 프로"</t>
  </si>
  <si>
    <t>"이은욱쌤"</t>
  </si>
  <si>
    <t>"이정희쌤"</t>
  </si>
  <si>
    <t>"이희영 프로"</t>
  </si>
  <si>
    <t>"전진미 프로"</t>
  </si>
  <si>
    <t>"현승문 매니저"</t>
  </si>
  <si>
    <t>"홍현철 매니저"</t>
  </si>
  <si>
    <t>"화이트쿠키 빼빼로"</t>
    <phoneticPr fontId="1" type="noConversion"/>
  </si>
  <si>
    <t>"2024-12-16"</t>
  </si>
  <si>
    <t>"2024-11-08"</t>
  </si>
  <si>
    <t>"2024-10-11"</t>
  </si>
  <si>
    <t>"2024-09-06"</t>
  </si>
  <si>
    <t>"2024-07-12"</t>
  </si>
  <si>
    <t>"2024-04-03"</t>
  </si>
  <si>
    <t>"2024-03-29"</t>
  </si>
  <si>
    <t>"2025-06-21"</t>
  </si>
  <si>
    <t>"2025-06-17"</t>
  </si>
  <si>
    <t>"2024-06-07"</t>
  </si>
  <si>
    <t>"2024-05-10"</t>
  </si>
  <si>
    <t>"2024-04-19"</t>
  </si>
  <si>
    <t>"2024-04-05"</t>
  </si>
  <si>
    <t>"2025-10-17"</t>
  </si>
  <si>
    <t>"2025-10-01"</t>
  </si>
  <si>
    <t>"2025-09-19"</t>
  </si>
  <si>
    <t>"2025-08-14"</t>
  </si>
  <si>
    <t>"2025-07-25"</t>
  </si>
  <si>
    <t>"2025-06-28"</t>
  </si>
  <si>
    <t>"2025-05-03"</t>
  </si>
  <si>
    <t>"2025-04-05"</t>
  </si>
  <si>
    <t>"2025-03-08"</t>
  </si>
  <si>
    <t>"2025-02-25"</t>
  </si>
  <si>
    <t>"2024-12-20"</t>
  </si>
  <si>
    <t>"2024-08-02"</t>
  </si>
  <si>
    <t>"2024-06-28"</t>
  </si>
  <si>
    <t>"2024-08-09"</t>
  </si>
  <si>
    <t>"2025-12-05"</t>
  </si>
  <si>
    <t>"2025-11-06"</t>
  </si>
  <si>
    <t>"2025-11-01"</t>
  </si>
  <si>
    <t>"2025-11-21"</t>
  </si>
  <si>
    <t>"2025-11-19"</t>
  </si>
  <si>
    <t>"2025-11-08"</t>
  </si>
  <si>
    <t>"2025-05-24"</t>
  </si>
  <si>
    <t>"2025-04-12"</t>
  </si>
  <si>
    <t>"2025-01-18"</t>
  </si>
  <si>
    <t>"/admin/adminHome"</t>
    <phoneticPr fontId="1" type="noConversion"/>
  </si>
  <si>
    <t>"adminHome"</t>
    <phoneticPr fontId="1" type="noConversion"/>
  </si>
  <si>
    <t>"관리자 메인 메뉴입니다."</t>
    <phoneticPr fontId="1" type="noConversion"/>
  </si>
  <si>
    <t>주문상태코드(01:구매요청, 02:배송중, 03:미결제, 04:송금완료, 11:구매완료, 12:품절, 91:취소)</t>
    <phoneticPr fontId="1" type="noConversion"/>
  </si>
  <si>
    <t>"송금완료"</t>
    <phoneticPr fontId="1" type="noConversion"/>
  </si>
  <si>
    <t>"/market/itemDetail"</t>
    <phoneticPr fontId="1" type="noConversion"/>
  </si>
  <si>
    <t>"상품상세"</t>
    <phoneticPr fontId="1" type="noConversion"/>
  </si>
  <si>
    <t>"itemDetail"</t>
    <phoneticPr fontId="1" type="noConversion"/>
  </si>
  <si>
    <t>"상품상세 정보를 조회할 수 있는 메뉴입니다."</t>
    <phoneticPr fontId="1" type="noConversion"/>
  </si>
  <si>
    <t>"비밀번호변경"</t>
    <phoneticPr fontId="1" type="noConversion"/>
  </si>
  <si>
    <t>"/info/pwchng"</t>
    <phoneticPr fontId="1" type="noConversion"/>
  </si>
  <si>
    <t>"/info"</t>
    <phoneticPr fontId="1" type="noConversion"/>
  </si>
  <si>
    <t>"pwchng"</t>
    <phoneticPr fontId="1" type="noConversion"/>
  </si>
  <si>
    <t>"비밀번호를 변경할 수 있는 메뉴입니다."</t>
    <phoneticPr fontId="1" type="noConversion"/>
  </si>
  <si>
    <t>PW_ERR_CNT</t>
    <phoneticPr fontId="1" type="noConversion"/>
  </si>
  <si>
    <t>PW_CH_DTTI</t>
    <phoneticPr fontId="1" type="noConversion"/>
  </si>
  <si>
    <t>PW_INIT_YN</t>
    <phoneticPr fontId="1" type="noConversion"/>
  </si>
  <si>
    <t>PW_BF</t>
    <phoneticPr fontId="1" type="noConversion"/>
  </si>
  <si>
    <t>"/admin/mngUser"</t>
    <phoneticPr fontId="1" type="noConversion"/>
  </si>
  <si>
    <t>"mngUser"</t>
    <phoneticPr fontId="1" type="noConversion"/>
  </si>
  <si>
    <t>"관리자가 사용자 관리 업무를 수행할 수 있는 메뉴입니다."</t>
    <phoneticPr fontId="1" type="noConversion"/>
  </si>
  <si>
    <t>"관리자가 주문 관리 업무를 수행할 수 있는 메뉴입니다."</t>
    <phoneticPr fontId="1" type="noConversion"/>
  </si>
  <si>
    <t>AI_OPEN_YN</t>
    <phoneticPr fontId="1" type="noConversion"/>
  </si>
  <si>
    <t>AI사용여부</t>
    <phoneticPr fontId="1" type="noConversion"/>
  </si>
  <si>
    <t>CREDIT</t>
    <phoneticPr fontId="1" type="noConversion"/>
  </si>
  <si>
    <t>크레딧</t>
    <phoneticPr fontId="1" type="noConversion"/>
  </si>
  <si>
    <t>BIGINT</t>
    <phoneticPr fontId="1" type="noConversion"/>
  </si>
  <si>
    <t>'100000'</t>
    <phoneticPr fontId="1" type="noConversion"/>
  </si>
  <si>
    <t>VARCHAR(40)</t>
    <phoneticPr fontId="1" type="noConversion"/>
  </si>
  <si>
    <t>VARCHAR(1000)</t>
    <phoneticPr fontId="1" type="noConversion"/>
  </si>
  <si>
    <t>LOGIN_CODE</t>
    <phoneticPr fontId="1" type="noConversion"/>
  </si>
  <si>
    <t>"/admin/loginLog"</t>
    <phoneticPr fontId="1" type="noConversion"/>
  </si>
  <si>
    <t>"로그인로그"</t>
    <phoneticPr fontId="1" type="noConversion"/>
  </si>
  <si>
    <t>"loginLog"</t>
    <phoneticPr fontId="1" type="noConversion"/>
  </si>
  <si>
    <t>"관리자가 로그인 로그를 조회할 수 있는 메뉴입니다."</t>
    <phoneticPr fontId="1" type="noConversion"/>
  </si>
  <si>
    <t>"요청로그"</t>
    <phoneticPr fontId="1" type="noConversion"/>
  </si>
  <si>
    <t>"관리자가 요청 로그를 조회할 수 있는 메뉴입니다."</t>
    <phoneticPr fontId="1" type="noConversion"/>
  </si>
  <si>
    <t>"/admin/reqLog"</t>
    <phoneticPr fontId="1" type="noConversion"/>
  </si>
  <si>
    <t>"reqLog"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</si>
</sst>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9111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1" fillId="0" borderId="0"/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/>
    <xf numFmtId="49" fontId="10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2">
    <cellStyle name="표준" xfId="0" builtinId="0"/>
    <cellStyle name="표준 2" xfId="1" xr:uid="{09CBFCF0-4D80-46A4-805D-371864F0B700}"/>
  </cellStyles>
  <dxfs count="9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891114"/>
      <color rgb="FF5527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71E9-50F8-40BF-BE98-DCB2D45777B8}">
  <dimension ref="B2:E26"/>
  <sheetViews>
    <sheetView workbookViewId="0">
      <selection activeCell="D9" sqref="D9"/>
    </sheetView>
  </sheetViews>
  <sheetFormatPr defaultRowHeight="17.399999999999999" x14ac:dyDescent="0.4"/>
  <cols>
    <col min="2" max="3" width="13.19921875" style="3" customWidth="1"/>
    <col min="4" max="4" width="43.3984375" customWidth="1"/>
    <col min="5" max="5" width="10.8984375" style="3" customWidth="1"/>
  </cols>
  <sheetData>
    <row r="2" spans="2:5" x14ac:dyDescent="0.4">
      <c r="B2" s="6" t="s">
        <v>501</v>
      </c>
      <c r="C2" s="6" t="s">
        <v>30</v>
      </c>
      <c r="D2" s="6" t="s">
        <v>502</v>
      </c>
      <c r="E2" s="6" t="s">
        <v>29</v>
      </c>
    </row>
    <row r="3" spans="2:5" x14ac:dyDescent="0.4">
      <c r="B3" s="4">
        <v>0.1</v>
      </c>
      <c r="C3" s="20">
        <v>45809</v>
      </c>
      <c r="D3" s="1" t="s">
        <v>503</v>
      </c>
      <c r="E3" s="4" t="s">
        <v>38</v>
      </c>
    </row>
    <row r="4" spans="2:5" x14ac:dyDescent="0.4">
      <c r="B4" s="4">
        <v>0.2</v>
      </c>
      <c r="C4" s="20">
        <v>45838</v>
      </c>
      <c r="D4" s="1" t="s">
        <v>504</v>
      </c>
      <c r="E4" s="4" t="s">
        <v>38</v>
      </c>
    </row>
    <row r="5" spans="2:5" x14ac:dyDescent="0.4">
      <c r="B5" s="4">
        <v>0.3</v>
      </c>
      <c r="C5" s="20">
        <v>45974</v>
      </c>
      <c r="D5" s="1" t="s">
        <v>526</v>
      </c>
      <c r="E5" s="4" t="s">
        <v>38</v>
      </c>
    </row>
    <row r="6" spans="2:5" x14ac:dyDescent="0.4">
      <c r="B6" s="4">
        <v>0.4</v>
      </c>
      <c r="C6" s="20">
        <v>45999</v>
      </c>
      <c r="D6" s="1" t="s">
        <v>821</v>
      </c>
      <c r="E6" s="4" t="s">
        <v>38</v>
      </c>
    </row>
    <row r="7" spans="2:5" x14ac:dyDescent="0.4">
      <c r="B7" s="4">
        <v>0.5</v>
      </c>
      <c r="C7" s="20">
        <v>46006</v>
      </c>
      <c r="D7" s="1" t="s">
        <v>865</v>
      </c>
      <c r="E7" s="4" t="s">
        <v>38</v>
      </c>
    </row>
    <row r="8" spans="2:5" x14ac:dyDescent="0.4">
      <c r="B8" s="4"/>
      <c r="C8" s="4"/>
      <c r="D8" s="1"/>
      <c r="E8" s="4"/>
    </row>
    <row r="9" spans="2:5" x14ac:dyDescent="0.4">
      <c r="B9" s="4"/>
      <c r="C9" s="4"/>
      <c r="D9" s="1"/>
      <c r="E9" s="4"/>
    </row>
    <row r="10" spans="2:5" x14ac:dyDescent="0.4">
      <c r="B10" s="4"/>
      <c r="C10" s="4"/>
      <c r="D10" s="1"/>
      <c r="E10" s="4"/>
    </row>
    <row r="11" spans="2:5" x14ac:dyDescent="0.4">
      <c r="B11" s="4"/>
      <c r="C11" s="4"/>
      <c r="D11" s="1"/>
      <c r="E11" s="4"/>
    </row>
    <row r="12" spans="2:5" x14ac:dyDescent="0.4">
      <c r="B12" s="4"/>
      <c r="C12" s="4"/>
      <c r="D12" s="1"/>
      <c r="E12" s="4"/>
    </row>
    <row r="13" spans="2:5" x14ac:dyDescent="0.4">
      <c r="B13" s="4"/>
      <c r="C13" s="4"/>
      <c r="D13" s="1"/>
      <c r="E13" s="4"/>
    </row>
    <row r="14" spans="2:5" x14ac:dyDescent="0.4">
      <c r="B14" s="4"/>
      <c r="C14" s="4"/>
      <c r="D14" s="1"/>
      <c r="E14" s="4"/>
    </row>
    <row r="15" spans="2:5" x14ac:dyDescent="0.4">
      <c r="B15" s="4"/>
      <c r="C15" s="4"/>
      <c r="D15" s="1"/>
      <c r="E15" s="4"/>
    </row>
    <row r="16" spans="2:5" x14ac:dyDescent="0.4">
      <c r="B16" s="4"/>
      <c r="C16" s="4"/>
      <c r="D16" s="1"/>
      <c r="E16" s="4"/>
    </row>
    <row r="17" spans="2:5" x14ac:dyDescent="0.4">
      <c r="B17" s="4"/>
      <c r="C17" s="4"/>
      <c r="D17" s="1"/>
      <c r="E17" s="4"/>
    </row>
    <row r="18" spans="2:5" x14ac:dyDescent="0.4">
      <c r="B18" s="4"/>
      <c r="C18" s="4"/>
      <c r="D18" s="1"/>
      <c r="E18" s="4"/>
    </row>
    <row r="19" spans="2:5" x14ac:dyDescent="0.4">
      <c r="B19" s="4"/>
      <c r="C19" s="4"/>
      <c r="D19" s="1"/>
      <c r="E19" s="4"/>
    </row>
    <row r="20" spans="2:5" x14ac:dyDescent="0.4">
      <c r="B20" s="4"/>
      <c r="C20" s="4"/>
      <c r="D20" s="1"/>
      <c r="E20" s="4"/>
    </row>
    <row r="21" spans="2:5" x14ac:dyDescent="0.4">
      <c r="B21" s="4"/>
      <c r="C21" s="4"/>
      <c r="D21" s="1"/>
      <c r="E21" s="4"/>
    </row>
    <row r="22" spans="2:5" x14ac:dyDescent="0.4">
      <c r="B22" s="4"/>
      <c r="C22" s="4"/>
      <c r="D22" s="1"/>
      <c r="E22" s="4"/>
    </row>
    <row r="23" spans="2:5" x14ac:dyDescent="0.4">
      <c r="B23" s="4"/>
      <c r="C23" s="4"/>
      <c r="D23" s="1"/>
      <c r="E23" s="4"/>
    </row>
    <row r="24" spans="2:5" x14ac:dyDescent="0.4">
      <c r="B24" s="4"/>
      <c r="C24" s="4"/>
      <c r="D24" s="1"/>
      <c r="E24" s="4"/>
    </row>
    <row r="25" spans="2:5" x14ac:dyDescent="0.4">
      <c r="B25" s="4"/>
      <c r="C25" s="4"/>
      <c r="D25" s="1"/>
      <c r="E25" s="4"/>
    </row>
    <row r="26" spans="2:5" x14ac:dyDescent="0.4">
      <c r="B26" s="4"/>
      <c r="C26" s="4"/>
      <c r="D26" s="1"/>
      <c r="E26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A1B2-35B2-404A-91D2-564CF6C84D17}">
  <dimension ref="B2:J214"/>
  <sheetViews>
    <sheetView tabSelected="1" topLeftCell="A67" zoomScale="85" zoomScaleNormal="85" workbookViewId="0">
      <selection activeCell="H87" sqref="H87"/>
    </sheetView>
  </sheetViews>
  <sheetFormatPr defaultRowHeight="17.399999999999999" x14ac:dyDescent="0.4"/>
  <cols>
    <col min="1" max="1" width="2.09765625" bestFit="1" customWidth="1"/>
    <col min="2" max="2" width="11.19921875" bestFit="1" customWidth="1"/>
    <col min="3" max="3" width="22.5" bestFit="1" customWidth="1"/>
    <col min="4" max="4" width="20.59765625" bestFit="1" customWidth="1"/>
    <col min="5" max="5" width="20.09765625" bestFit="1" customWidth="1"/>
    <col min="6" max="6" width="7" style="3" bestFit="1" customWidth="1"/>
    <col min="7" max="7" width="15" bestFit="1" customWidth="1"/>
    <col min="8" max="8" width="30.59765625" bestFit="1" customWidth="1"/>
    <col min="9" max="9" width="76.09765625" bestFit="1" customWidth="1"/>
    <col min="10" max="10" width="107.69921875" customWidth="1"/>
  </cols>
  <sheetData>
    <row r="2" spans="2:10" x14ac:dyDescent="0.4">
      <c r="B2" s="38" t="s">
        <v>28</v>
      </c>
      <c r="C2" s="39"/>
      <c r="D2" s="39"/>
      <c r="E2" s="39"/>
      <c r="F2" s="39"/>
      <c r="G2" s="39"/>
      <c r="H2" s="39"/>
      <c r="I2" s="40"/>
    </row>
    <row r="3" spans="2:10" x14ac:dyDescent="0.4">
      <c r="B3" s="6" t="s">
        <v>1</v>
      </c>
      <c r="C3" s="4" t="s">
        <v>866</v>
      </c>
      <c r="D3" s="6" t="s">
        <v>3</v>
      </c>
      <c r="E3" s="4" t="s">
        <v>37</v>
      </c>
      <c r="F3" s="6" t="s">
        <v>29</v>
      </c>
      <c r="G3" s="4" t="s">
        <v>38</v>
      </c>
      <c r="H3" s="6" t="s">
        <v>30</v>
      </c>
      <c r="I3" s="7">
        <v>44942</v>
      </c>
      <c r="J3" t="str">
        <f>_xlfn.CONCAT("DROP TABLE IF EXISTS ",C3,";")</f>
        <v>DROP TABLE IF EXISTS tb_user;</v>
      </c>
    </row>
    <row r="4" spans="2:10" x14ac:dyDescent="0.4">
      <c r="B4" s="6" t="s">
        <v>31</v>
      </c>
      <c r="C4" s="41" t="s">
        <v>39</v>
      </c>
      <c r="D4" s="41"/>
      <c r="E4" s="41"/>
      <c r="F4" s="41"/>
      <c r="G4" s="41"/>
      <c r="H4" s="41"/>
      <c r="I4" s="41"/>
      <c r="J4" t="str">
        <f>_xlfn.CONCAT("CREATE TABLE ",C3)</f>
        <v>CREATE TABLE tb_user</v>
      </c>
    </row>
    <row r="5" spans="2:10" x14ac:dyDescent="0.4">
      <c r="B5" s="6" t="s">
        <v>32</v>
      </c>
      <c r="C5" s="6" t="s">
        <v>1</v>
      </c>
      <c r="D5" s="6" t="s">
        <v>3</v>
      </c>
      <c r="E5" s="6" t="s">
        <v>33</v>
      </c>
      <c r="F5" s="6" t="s">
        <v>34</v>
      </c>
      <c r="G5" s="6" t="s">
        <v>35</v>
      </c>
      <c r="H5" s="6" t="s">
        <v>22</v>
      </c>
      <c r="I5" s="6" t="s">
        <v>36</v>
      </c>
      <c r="J5" t="str">
        <f>_xlfn.CONCAT("(")</f>
        <v>(</v>
      </c>
    </row>
    <row r="6" spans="2:10" x14ac:dyDescent="0.4">
      <c r="B6" s="4">
        <v>1</v>
      </c>
      <c r="C6" s="1" t="s">
        <v>324</v>
      </c>
      <c r="D6" s="1" t="s">
        <v>325</v>
      </c>
      <c r="E6" s="4" t="s">
        <v>299</v>
      </c>
      <c r="F6" s="4">
        <v>1</v>
      </c>
      <c r="G6" s="1" t="s">
        <v>41</v>
      </c>
      <c r="H6" s="1" t="s">
        <v>326</v>
      </c>
      <c r="I6" s="1" t="s">
        <v>325</v>
      </c>
      <c r="J6" t="str">
        <f>_xlfn.CONCAT(IF(B6=1,"",", "),C6," ",E6," ",G6,_xlfn.IFS(H6="","",H6="AUTO_INCREMENT"," AUTO_INCREMENT PRIMARY KEY",TRUE,_xlfn.CONCAT(" DEFAULT"," ",H6)), " COMMENT '",I6,"'")</f>
        <v>USER_SEQ INT NOT NULL AUTO_INCREMENT PRIMARY KEY COMMENT '사용자일련번호'</v>
      </c>
    </row>
    <row r="7" spans="2:10" x14ac:dyDescent="0.4">
      <c r="B7" s="4">
        <v>2</v>
      </c>
      <c r="C7" s="1" t="s">
        <v>260</v>
      </c>
      <c r="D7" s="1" t="s">
        <v>78</v>
      </c>
      <c r="E7" s="4" t="s">
        <v>982</v>
      </c>
      <c r="F7" s="4"/>
      <c r="G7" s="1" t="s">
        <v>43</v>
      </c>
      <c r="H7" s="1"/>
      <c r="I7" s="1" t="s">
        <v>78</v>
      </c>
      <c r="J7" t="str">
        <f t="shared" ref="J7:J22" si="0">_xlfn.CONCAT(IF(B7=1,"",", "),C7," ",E7," ",G7,_xlfn.IFS(H7="","",H7="AUTO_INCREMENT"," AUTO_INCREMENT PRIMARY KEY",TRUE,_xlfn.CONCAT(" DEFAULT"," ",H7)), " COMMENT '",I7,"'")</f>
        <v>, USER_ID VARCHAR(40) NULL COMMENT '사용자아이디'</v>
      </c>
    </row>
    <row r="8" spans="2:10" x14ac:dyDescent="0.4">
      <c r="B8" s="4">
        <v>3</v>
      </c>
      <c r="C8" s="1" t="s">
        <v>261</v>
      </c>
      <c r="D8" s="1" t="s">
        <v>79</v>
      </c>
      <c r="E8" s="4" t="s">
        <v>169</v>
      </c>
      <c r="F8" s="4"/>
      <c r="G8" s="1" t="s">
        <v>43</v>
      </c>
      <c r="H8" s="1"/>
      <c r="I8" s="1" t="s">
        <v>79</v>
      </c>
      <c r="J8" t="str">
        <f t="shared" si="0"/>
        <v>, USER_PW VARCHAR(100) NULL COMMENT '사용자비밀번호'</v>
      </c>
    </row>
    <row r="9" spans="2:10" x14ac:dyDescent="0.4">
      <c r="B9" s="4">
        <v>4</v>
      </c>
      <c r="C9" s="1" t="s">
        <v>313</v>
      </c>
      <c r="D9" s="1" t="s">
        <v>314</v>
      </c>
      <c r="E9" s="4" t="s">
        <v>25</v>
      </c>
      <c r="F9" s="4"/>
      <c r="G9" s="1" t="s">
        <v>43</v>
      </c>
      <c r="H9" s="1"/>
      <c r="I9" s="1" t="s">
        <v>51</v>
      </c>
      <c r="J9" t="str">
        <f t="shared" si="0"/>
        <v>, USER_NM VARCHAR(30) NULL COMMENT '이름'</v>
      </c>
    </row>
    <row r="10" spans="2:10" x14ac:dyDescent="0.4">
      <c r="B10" s="4">
        <v>5</v>
      </c>
      <c r="C10" s="1" t="s">
        <v>976</v>
      </c>
      <c r="D10" s="1" t="s">
        <v>977</v>
      </c>
      <c r="E10" s="4" t="s">
        <v>23</v>
      </c>
      <c r="F10" s="4"/>
      <c r="G10" s="1" t="s">
        <v>43</v>
      </c>
      <c r="H10" s="8" t="s">
        <v>488</v>
      </c>
      <c r="I10" s="1" t="s">
        <v>977</v>
      </c>
      <c r="J10" t="str">
        <f t="shared" ref="J10" si="1">_xlfn.CONCAT(IF(B10=1,"",", "),C10," ",E10," ",G10,_xlfn.IFS(H10="","",H10="AUTO_INCREMENT"," AUTO_INCREMENT PRIMARY KEY",TRUE,_xlfn.CONCAT(" DEFAULT"," ",H10)), " COMMENT '",I10,"'")</f>
        <v>, AI_OPEN_YN CHAR(1) NULL DEFAULT 'N' COMMENT 'AI사용여부'</v>
      </c>
    </row>
    <row r="11" spans="2:10" x14ac:dyDescent="0.4">
      <c r="B11" s="4">
        <v>6</v>
      </c>
      <c r="C11" s="1" t="s">
        <v>978</v>
      </c>
      <c r="D11" s="1" t="s">
        <v>979</v>
      </c>
      <c r="E11" s="4" t="s">
        <v>980</v>
      </c>
      <c r="F11" s="4"/>
      <c r="G11" s="1" t="s">
        <v>43</v>
      </c>
      <c r="H11" s="8" t="s">
        <v>981</v>
      </c>
      <c r="I11" s="1" t="s">
        <v>979</v>
      </c>
      <c r="J11" t="str">
        <f t="shared" ref="J11" si="2">_xlfn.CONCAT(IF(B11=1,"",", "),C11," ",E11," ",G11,_xlfn.IFS(H11="","",H11="AUTO_INCREMENT"," AUTO_INCREMENT PRIMARY KEY",TRUE,_xlfn.CONCAT(" DEFAULT"," ",H11)), " COMMENT '",I11,"'")</f>
        <v>, CREDIT BIGINT NULL DEFAULT '100000' COMMENT '크레딧'</v>
      </c>
    </row>
    <row r="12" spans="2:10" x14ac:dyDescent="0.4">
      <c r="B12" s="4">
        <v>7</v>
      </c>
      <c r="C12" s="1" t="s">
        <v>290</v>
      </c>
      <c r="D12" s="1" t="s">
        <v>291</v>
      </c>
      <c r="E12" s="4" t="s">
        <v>23</v>
      </c>
      <c r="F12" s="4"/>
      <c r="G12" s="1" t="s">
        <v>43</v>
      </c>
      <c r="H12" s="8" t="s">
        <v>293</v>
      </c>
      <c r="I12" s="1" t="s">
        <v>291</v>
      </c>
      <c r="J12" t="str">
        <f t="shared" si="0"/>
        <v>, USE_YN CHAR(1) NULL DEFAULT 'Y' COMMENT '사용여부'</v>
      </c>
    </row>
    <row r="13" spans="2:10" x14ac:dyDescent="0.4">
      <c r="B13" s="4">
        <v>8</v>
      </c>
      <c r="C13" s="1" t="s">
        <v>306</v>
      </c>
      <c r="D13" s="1" t="s">
        <v>312</v>
      </c>
      <c r="E13" s="4" t="s">
        <v>189</v>
      </c>
      <c r="F13" s="4"/>
      <c r="G13" s="1" t="s">
        <v>43</v>
      </c>
      <c r="H13" s="1" t="s">
        <v>59</v>
      </c>
      <c r="I13" s="1" t="s">
        <v>194</v>
      </c>
      <c r="J13" t="str">
        <f t="shared" si="0"/>
        <v>, RMRK VARCHAR(3000) NULL COMMENT '사용자비고'</v>
      </c>
    </row>
    <row r="14" spans="2:10" x14ac:dyDescent="0.4">
      <c r="B14" s="4">
        <v>9</v>
      </c>
      <c r="C14" s="1" t="s">
        <v>969</v>
      </c>
      <c r="D14" s="1" t="s">
        <v>80</v>
      </c>
      <c r="E14" s="4" t="s">
        <v>49</v>
      </c>
      <c r="F14" s="4"/>
      <c r="G14" s="1" t="s">
        <v>43</v>
      </c>
      <c r="H14" s="1" t="s">
        <v>60</v>
      </c>
      <c r="I14" s="1" t="s">
        <v>53</v>
      </c>
      <c r="J14" t="str">
        <f t="shared" si="0"/>
        <v>, PW_CH_DTTI TIMESTAMP NULL DEFAULT NOW() COMMENT '비밀번호 최종수정일시'</v>
      </c>
    </row>
    <row r="15" spans="2:10" x14ac:dyDescent="0.4">
      <c r="B15" s="4">
        <v>10</v>
      </c>
      <c r="C15" s="1" t="s">
        <v>971</v>
      </c>
      <c r="D15" s="1" t="s">
        <v>54</v>
      </c>
      <c r="E15" s="4" t="s">
        <v>169</v>
      </c>
      <c r="F15" s="4"/>
      <c r="G15" s="1" t="s">
        <v>43</v>
      </c>
      <c r="H15" s="1" t="s">
        <v>59</v>
      </c>
      <c r="I15" s="1" t="s">
        <v>54</v>
      </c>
      <c r="J15" t="str">
        <f t="shared" si="0"/>
        <v>, PW_BF VARCHAR(100) NULL COMMENT '이전 비밀번호'</v>
      </c>
    </row>
    <row r="16" spans="2:10" x14ac:dyDescent="0.4">
      <c r="B16" s="4">
        <v>11</v>
      </c>
      <c r="C16" s="1" t="s">
        <v>968</v>
      </c>
      <c r="D16" s="1" t="s">
        <v>83</v>
      </c>
      <c r="E16" s="4" t="s">
        <v>299</v>
      </c>
      <c r="F16" s="4"/>
      <c r="G16" s="1" t="s">
        <v>43</v>
      </c>
      <c r="H16" s="1" t="s">
        <v>61</v>
      </c>
      <c r="I16" s="1" t="s">
        <v>55</v>
      </c>
      <c r="J16" t="str">
        <f t="shared" si="0"/>
        <v>, PW_ERR_CNT INT NULL DEFAULT '0' COMMENT '비밀번호 오입력 횟수'</v>
      </c>
    </row>
    <row r="17" spans="2:10" x14ac:dyDescent="0.4">
      <c r="B17" s="4">
        <v>12</v>
      </c>
      <c r="C17" s="1" t="s">
        <v>970</v>
      </c>
      <c r="D17" s="1" t="s">
        <v>84</v>
      </c>
      <c r="E17" s="4" t="s">
        <v>23</v>
      </c>
      <c r="F17" s="4"/>
      <c r="G17" s="1" t="s">
        <v>43</v>
      </c>
      <c r="H17" s="8" t="s">
        <v>310</v>
      </c>
      <c r="I17" s="1" t="s">
        <v>305</v>
      </c>
      <c r="J17" t="str">
        <f t="shared" si="0"/>
        <v>, PW_INIT_YN CHAR(1) NULL DEFAULT 'Y' COMMENT '비밀번호 초기화 여부'</v>
      </c>
    </row>
    <row r="18" spans="2:10" x14ac:dyDescent="0.4">
      <c r="B18" s="4">
        <v>13</v>
      </c>
      <c r="C18" s="1" t="s">
        <v>216</v>
      </c>
      <c r="D18" s="1" t="s">
        <v>218</v>
      </c>
      <c r="E18" s="4" t="s">
        <v>299</v>
      </c>
      <c r="F18" s="4"/>
      <c r="G18" s="1" t="s">
        <v>43</v>
      </c>
      <c r="H18" s="1"/>
      <c r="I18" s="1" t="s">
        <v>218</v>
      </c>
      <c r="J18" t="str">
        <f>_xlfn.CONCAT(IF(B18=1,"",", "),C18," ",E18," ",G18,_xlfn.IFS(H18="","",H18="AUTO_INCREMENT"," AUTO_INCREMENT PRIMARY KEY",TRUE,_xlfn.CONCAT(" DEFAULT"," ",H18)), " COMMENT '",I18,"'")</f>
        <v>, ROLE_SEQ INT NULL COMMENT '권한그룹일련번호'</v>
      </c>
    </row>
    <row r="19" spans="2:10" x14ac:dyDescent="0.4">
      <c r="B19" s="4">
        <v>14</v>
      </c>
      <c r="C19" s="1" t="s">
        <v>328</v>
      </c>
      <c r="D19" s="1" t="s">
        <v>329</v>
      </c>
      <c r="E19" s="4" t="s">
        <v>299</v>
      </c>
      <c r="F19" s="4"/>
      <c r="G19" s="1" t="s">
        <v>41</v>
      </c>
      <c r="H19" s="1" t="s">
        <v>59</v>
      </c>
      <c r="I19" s="1" t="s">
        <v>329</v>
      </c>
      <c r="J19" t="str">
        <f t="shared" si="0"/>
        <v>, FST_REG_SEQ INT NOT NULL COMMENT '최초등록자일련번호'</v>
      </c>
    </row>
    <row r="20" spans="2:10" x14ac:dyDescent="0.4">
      <c r="B20" s="4">
        <v>15</v>
      </c>
      <c r="C20" s="1" t="s">
        <v>50</v>
      </c>
      <c r="D20" s="1" t="s">
        <v>56</v>
      </c>
      <c r="E20" s="4" t="s">
        <v>49</v>
      </c>
      <c r="F20" s="4"/>
      <c r="G20" s="1" t="s">
        <v>41</v>
      </c>
      <c r="H20" s="1" t="s">
        <v>60</v>
      </c>
      <c r="I20" s="1" t="s">
        <v>56</v>
      </c>
      <c r="J20" t="str">
        <f t="shared" si="0"/>
        <v>, FST_REG_DTTI TIMESTAMP NOT NULL DEFAULT NOW() COMMENT '최초등록일시'</v>
      </c>
    </row>
    <row r="21" spans="2:10" x14ac:dyDescent="0.4">
      <c r="B21" s="4">
        <v>16</v>
      </c>
      <c r="C21" s="1" t="s">
        <v>520</v>
      </c>
      <c r="D21" s="1" t="s">
        <v>330</v>
      </c>
      <c r="E21" s="4" t="s">
        <v>299</v>
      </c>
      <c r="F21" s="4"/>
      <c r="G21" s="1" t="s">
        <v>41</v>
      </c>
      <c r="H21" s="1" t="s">
        <v>59</v>
      </c>
      <c r="I21" s="1" t="s">
        <v>330</v>
      </c>
      <c r="J21" t="str">
        <f t="shared" si="0"/>
        <v>, LST_UPD_SEQ INT NOT NULL COMMENT '최종수정자일련번호'</v>
      </c>
    </row>
    <row r="22" spans="2:10" x14ac:dyDescent="0.4">
      <c r="B22" s="4">
        <v>17</v>
      </c>
      <c r="C22" s="1" t="s">
        <v>515</v>
      </c>
      <c r="D22" s="1" t="s">
        <v>58</v>
      </c>
      <c r="E22" s="4" t="s">
        <v>49</v>
      </c>
      <c r="F22" s="4"/>
      <c r="G22" s="1" t="s">
        <v>41</v>
      </c>
      <c r="H22" s="1" t="s">
        <v>60</v>
      </c>
      <c r="I22" s="1" t="s">
        <v>58</v>
      </c>
      <c r="J22" t="str">
        <f t="shared" si="0"/>
        <v>, LST_UPD_DTTI TIMESTAMP NOT NULL DEFAULT NOW() COMMENT '최종수정일시'</v>
      </c>
    </row>
    <row r="23" spans="2:10" x14ac:dyDescent="0.4">
      <c r="J23" t="str">
        <f>_xlfn.CONCAT(");")</f>
        <v>);</v>
      </c>
    </row>
    <row r="24" spans="2:10" x14ac:dyDescent="0.4">
      <c r="B24" s="38" t="s">
        <v>28</v>
      </c>
      <c r="C24" s="39"/>
      <c r="D24" s="39"/>
      <c r="E24" s="39"/>
      <c r="F24" s="39"/>
      <c r="G24" s="39"/>
      <c r="H24" s="39"/>
      <c r="I24" s="40"/>
    </row>
    <row r="25" spans="2:10" x14ac:dyDescent="0.4">
      <c r="B25" s="6" t="s">
        <v>1</v>
      </c>
      <c r="C25" s="4" t="s">
        <v>867</v>
      </c>
      <c r="D25" s="6" t="s">
        <v>3</v>
      </c>
      <c r="E25" s="4" t="s">
        <v>81</v>
      </c>
      <c r="F25" s="6" t="s">
        <v>29</v>
      </c>
      <c r="G25" s="4" t="s">
        <v>38</v>
      </c>
      <c r="H25" s="6" t="s">
        <v>30</v>
      </c>
      <c r="I25" s="7">
        <v>44942</v>
      </c>
      <c r="J25" t="str">
        <f>_xlfn.CONCAT("DROP TABLE IF EXISTS ",C25,";")</f>
        <v>DROP TABLE IF EXISTS tb_code_group;</v>
      </c>
    </row>
    <row r="26" spans="2:10" x14ac:dyDescent="0.4">
      <c r="B26" s="6" t="s">
        <v>31</v>
      </c>
      <c r="C26" s="41" t="s">
        <v>62</v>
      </c>
      <c r="D26" s="41"/>
      <c r="E26" s="41"/>
      <c r="F26" s="41"/>
      <c r="G26" s="41"/>
      <c r="H26" s="41"/>
      <c r="I26" s="41"/>
      <c r="J26" t="str">
        <f>_xlfn.CONCAT("CREATE TABLE ",C25)</f>
        <v>CREATE TABLE tb_code_group</v>
      </c>
    </row>
    <row r="27" spans="2:10" x14ac:dyDescent="0.4">
      <c r="B27" s="6" t="s">
        <v>32</v>
      </c>
      <c r="C27" s="6" t="s">
        <v>1</v>
      </c>
      <c r="D27" s="6" t="s">
        <v>3</v>
      </c>
      <c r="E27" s="6" t="s">
        <v>33</v>
      </c>
      <c r="F27" s="6" t="s">
        <v>34</v>
      </c>
      <c r="G27" s="6" t="s">
        <v>35</v>
      </c>
      <c r="H27" s="6" t="s">
        <v>22</v>
      </c>
      <c r="I27" s="6" t="s">
        <v>36</v>
      </c>
      <c r="J27" t="str">
        <f>_xlfn.CONCAT("(")</f>
        <v>(</v>
      </c>
    </row>
    <row r="28" spans="2:10" x14ac:dyDescent="0.4">
      <c r="B28" s="4">
        <v>1</v>
      </c>
      <c r="C28" s="1" t="s">
        <v>67</v>
      </c>
      <c r="D28" s="1" t="s">
        <v>81</v>
      </c>
      <c r="E28" s="4" t="s">
        <v>25</v>
      </c>
      <c r="F28" s="4">
        <v>1</v>
      </c>
      <c r="G28" s="1" t="s">
        <v>41</v>
      </c>
      <c r="H28" s="1"/>
      <c r="I28" s="1" t="s">
        <v>81</v>
      </c>
      <c r="J28" t="str">
        <f>_xlfn.CONCAT(IF(B28=1,"",", "),C28," ",E28," ",G28,_xlfn.IFS(H28="","",H28="AUTO_INCREMENT"," AUTO_INCREMENT PRIMARY KEY",TRUE,_xlfn.CONCAT(" DEFAULT"," ",H28)), " COMMENT '",I28,"'")</f>
        <v>CODE_GROUP VARCHAR(30) NOT NULL COMMENT '코드그룹'</v>
      </c>
    </row>
    <row r="29" spans="2:10" x14ac:dyDescent="0.4">
      <c r="B29" s="4">
        <v>2</v>
      </c>
      <c r="C29" s="1" t="s">
        <v>63</v>
      </c>
      <c r="D29" s="1" t="s">
        <v>82</v>
      </c>
      <c r="E29" s="4" t="s">
        <v>65</v>
      </c>
      <c r="F29" s="4"/>
      <c r="G29" s="1" t="s">
        <v>43</v>
      </c>
      <c r="H29" s="1"/>
      <c r="I29" s="1" t="s">
        <v>82</v>
      </c>
      <c r="J29" t="str">
        <f t="shared" ref="J29:J34" si="3">_xlfn.CONCAT(IF(B29=1,"",", "),C29," ",E29," ",G29,_xlfn.IFS(H29="","",H29="AUTO_INCREMENT"," AUTO_INCREMENT PRIMARY KEY",TRUE,_xlfn.CONCAT(" DEFAULT"," ",H29)), " COMMENT '",I29,"'")</f>
        <v>, CODE_GROUP_NM VARCHAR(150) NULL COMMENT '코드그룹명'</v>
      </c>
    </row>
    <row r="30" spans="2:10" x14ac:dyDescent="0.4">
      <c r="B30" s="4">
        <v>3</v>
      </c>
      <c r="C30" s="1" t="s">
        <v>244</v>
      </c>
      <c r="D30" s="1" t="s">
        <v>312</v>
      </c>
      <c r="E30" s="4" t="s">
        <v>189</v>
      </c>
      <c r="F30" s="4"/>
      <c r="G30" s="1" t="s">
        <v>43</v>
      </c>
      <c r="H30" s="1" t="s">
        <v>59</v>
      </c>
      <c r="I30" s="1" t="s">
        <v>312</v>
      </c>
      <c r="J30" t="str">
        <f t="shared" si="3"/>
        <v>, RMRK VARCHAR(3000) NULL COMMENT '비고'</v>
      </c>
    </row>
    <row r="31" spans="2:10" x14ac:dyDescent="0.4">
      <c r="B31" s="4">
        <v>4</v>
      </c>
      <c r="C31" s="1" t="s">
        <v>328</v>
      </c>
      <c r="D31" s="1" t="s">
        <v>329</v>
      </c>
      <c r="E31" s="4" t="s">
        <v>299</v>
      </c>
      <c r="F31" s="4"/>
      <c r="G31" s="1" t="s">
        <v>41</v>
      </c>
      <c r="H31" s="1" t="s">
        <v>59</v>
      </c>
      <c r="I31" s="1" t="s">
        <v>329</v>
      </c>
      <c r="J31" t="str">
        <f t="shared" si="3"/>
        <v>, FST_REG_SEQ INT NOT NULL COMMENT '최초등록자일련번호'</v>
      </c>
    </row>
    <row r="32" spans="2:10" x14ac:dyDescent="0.4">
      <c r="B32" s="4">
        <v>5</v>
      </c>
      <c r="C32" s="1" t="s">
        <v>50</v>
      </c>
      <c r="D32" s="1" t="s">
        <v>56</v>
      </c>
      <c r="E32" s="4" t="s">
        <v>49</v>
      </c>
      <c r="F32" s="4"/>
      <c r="G32" s="1" t="s">
        <v>41</v>
      </c>
      <c r="H32" s="1" t="s">
        <v>60</v>
      </c>
      <c r="I32" s="1" t="s">
        <v>56</v>
      </c>
      <c r="J32" t="str">
        <f t="shared" si="3"/>
        <v>, FST_REG_DTTI TIMESTAMP NOT NULL DEFAULT NOW() COMMENT '최초등록일시'</v>
      </c>
    </row>
    <row r="33" spans="2:10" x14ac:dyDescent="0.4">
      <c r="B33" s="4">
        <v>6</v>
      </c>
      <c r="C33" s="1" t="s">
        <v>520</v>
      </c>
      <c r="D33" s="1" t="s">
        <v>330</v>
      </c>
      <c r="E33" s="4" t="s">
        <v>299</v>
      </c>
      <c r="F33" s="4"/>
      <c r="G33" s="1" t="s">
        <v>41</v>
      </c>
      <c r="H33" s="1" t="s">
        <v>59</v>
      </c>
      <c r="I33" s="1" t="s">
        <v>330</v>
      </c>
      <c r="J33" t="str">
        <f t="shared" si="3"/>
        <v>, LST_UPD_SEQ INT NOT NULL COMMENT '최종수정자일련번호'</v>
      </c>
    </row>
    <row r="34" spans="2:10" x14ac:dyDescent="0.4">
      <c r="B34" s="4">
        <v>7</v>
      </c>
      <c r="C34" s="1" t="s">
        <v>515</v>
      </c>
      <c r="D34" s="1" t="s">
        <v>58</v>
      </c>
      <c r="E34" s="4" t="s">
        <v>49</v>
      </c>
      <c r="F34" s="4"/>
      <c r="G34" s="1" t="s">
        <v>41</v>
      </c>
      <c r="H34" s="1" t="s">
        <v>60</v>
      </c>
      <c r="I34" s="1" t="s">
        <v>58</v>
      </c>
      <c r="J34" t="str">
        <f t="shared" si="3"/>
        <v>, LST_UPD_DTTI TIMESTAMP NOT NULL DEFAULT NOW() COMMENT '최종수정일시'</v>
      </c>
    </row>
    <row r="35" spans="2:10" x14ac:dyDescent="0.4">
      <c r="J35" t="str">
        <f>_xlfn.CONCAT(") COMMENT '",E25,"';")</f>
        <v>) COMMENT '코드그룹';</v>
      </c>
    </row>
    <row r="36" spans="2:10" x14ac:dyDescent="0.4">
      <c r="B36" s="6" t="s">
        <v>32</v>
      </c>
      <c r="C36" s="42" t="s">
        <v>44</v>
      </c>
      <c r="D36" s="42"/>
      <c r="E36" s="42"/>
      <c r="F36" s="42" t="s">
        <v>45</v>
      </c>
      <c r="G36" s="42"/>
      <c r="H36" s="42"/>
      <c r="I36" s="42"/>
      <c r="J36" t="str">
        <f>_xlfn.CONCAT("ALTER TABLE ",C25," ADD CONSTRAINT ",C37," PRIMARY KEY (")</f>
        <v>ALTER TABLE tb_code_group ADD CONSTRAINT PK_tb_code_group PRIMARY KEY (</v>
      </c>
    </row>
    <row r="37" spans="2:10" x14ac:dyDescent="0.4">
      <c r="B37" s="4">
        <v>1</v>
      </c>
      <c r="C37" s="43" t="str">
        <f>_xlfn.CONCAT("PK_",C25)</f>
        <v>PK_tb_code_group</v>
      </c>
      <c r="D37" s="43"/>
      <c r="E37" s="43"/>
      <c r="F37" s="43" t="str">
        <f>C28</f>
        <v>CODE_GROUP</v>
      </c>
      <c r="G37" s="43"/>
      <c r="H37" s="43"/>
      <c r="I37" s="43"/>
      <c r="J37" t="str">
        <f>_xlfn.CONCAT(IF(B37=1,"",", "),F37)</f>
        <v>CODE_GROUP</v>
      </c>
    </row>
    <row r="38" spans="2:10" x14ac:dyDescent="0.4">
      <c r="J38" t="str">
        <f>_xlfn.CONCAT(");")</f>
        <v>);</v>
      </c>
    </row>
    <row r="39" spans="2:10" x14ac:dyDescent="0.4">
      <c r="B39" s="38" t="s">
        <v>28</v>
      </c>
      <c r="C39" s="39"/>
      <c r="D39" s="39"/>
      <c r="E39" s="39"/>
      <c r="F39" s="39"/>
      <c r="G39" s="39"/>
      <c r="H39" s="39"/>
      <c r="I39" s="40"/>
    </row>
    <row r="40" spans="2:10" x14ac:dyDescent="0.4">
      <c r="B40" s="6" t="s">
        <v>1</v>
      </c>
      <c r="C40" s="4" t="s">
        <v>868</v>
      </c>
      <c r="D40" s="6" t="s">
        <v>3</v>
      </c>
      <c r="E40" s="4" t="s">
        <v>134</v>
      </c>
      <c r="F40" s="6" t="s">
        <v>29</v>
      </c>
      <c r="G40" s="4" t="s">
        <v>38</v>
      </c>
      <c r="H40" s="6" t="s">
        <v>30</v>
      </c>
      <c r="I40" s="7">
        <v>44942</v>
      </c>
      <c r="J40" t="str">
        <f>_xlfn.CONCAT("DROP TABLE IF EXISTS ",C40,";")</f>
        <v>DROP TABLE IF EXISTS tb_code_detail;</v>
      </c>
    </row>
    <row r="41" spans="2:10" x14ac:dyDescent="0.4">
      <c r="B41" s="6" t="s">
        <v>31</v>
      </c>
      <c r="C41" s="41" t="s">
        <v>66</v>
      </c>
      <c r="D41" s="41"/>
      <c r="E41" s="41"/>
      <c r="F41" s="41"/>
      <c r="G41" s="41"/>
      <c r="H41" s="41"/>
      <c r="I41" s="41"/>
      <c r="J41" t="str">
        <f>_xlfn.CONCAT("CREATE TABLE ",C40)</f>
        <v>CREATE TABLE tb_code_detail</v>
      </c>
    </row>
    <row r="42" spans="2:10" x14ac:dyDescent="0.4">
      <c r="B42" s="6" t="s">
        <v>32</v>
      </c>
      <c r="C42" s="6" t="s">
        <v>1</v>
      </c>
      <c r="D42" s="6" t="s">
        <v>3</v>
      </c>
      <c r="E42" s="6" t="s">
        <v>33</v>
      </c>
      <c r="F42" s="6" t="s">
        <v>34</v>
      </c>
      <c r="G42" s="6" t="s">
        <v>35</v>
      </c>
      <c r="H42" s="6" t="s">
        <v>22</v>
      </c>
      <c r="I42" s="6" t="s">
        <v>36</v>
      </c>
      <c r="J42" t="str">
        <f>_xlfn.CONCAT("(")</f>
        <v>(</v>
      </c>
    </row>
    <row r="43" spans="2:10" x14ac:dyDescent="0.4">
      <c r="B43" s="4">
        <v>1</v>
      </c>
      <c r="C43" s="1" t="s">
        <v>67</v>
      </c>
      <c r="D43" s="1" t="s">
        <v>81</v>
      </c>
      <c r="E43" s="4" t="s">
        <v>25</v>
      </c>
      <c r="F43" s="4">
        <v>1</v>
      </c>
      <c r="G43" s="1" t="s">
        <v>41</v>
      </c>
      <c r="H43" s="1"/>
      <c r="I43" s="1" t="s">
        <v>81</v>
      </c>
      <c r="J43" t="str">
        <f>_xlfn.CONCAT(IF(B43=1,"",", "),C43," ",E43," ",G43,_xlfn.IFS(H43="","",H43="AUTO_INCREMENT"," AUTO_INCREMENT PRIMARY KEY",TRUE,_xlfn.CONCAT(" DEFAULT"," ",H43)), " COMMENT '",I43,"'")</f>
        <v>CODE_GROUP VARCHAR(30) NOT NULL COMMENT '코드그룹'</v>
      </c>
    </row>
    <row r="44" spans="2:10" x14ac:dyDescent="0.4">
      <c r="B44" s="4">
        <v>2</v>
      </c>
      <c r="C44" s="1" t="s">
        <v>69</v>
      </c>
      <c r="D44" s="1" t="s">
        <v>134</v>
      </c>
      <c r="E44" s="4" t="s">
        <v>24</v>
      </c>
      <c r="F44" s="4">
        <v>2</v>
      </c>
      <c r="G44" s="1" t="s">
        <v>41</v>
      </c>
      <c r="H44" s="1"/>
      <c r="I44" s="1" t="s">
        <v>134</v>
      </c>
      <c r="J44" t="str">
        <f t="shared" ref="J44:J51" si="4">_xlfn.CONCAT(IF(B44=1,"",", "),C44," ",E44," ",G44,_xlfn.IFS(H44="","",H44="AUTO_INCREMENT"," AUTO_INCREMENT PRIMARY KEY",TRUE,_xlfn.CONCAT(" DEFAULT"," ",H44)), " COMMENT '",I44,"'")</f>
        <v>, CODE_DETAIL VARCHAR(10) NOT NULL COMMENT '코드상세'</v>
      </c>
    </row>
    <row r="45" spans="2:10" x14ac:dyDescent="0.4">
      <c r="B45" s="4">
        <v>3</v>
      </c>
      <c r="C45" s="1" t="s">
        <v>132</v>
      </c>
      <c r="D45" s="1" t="s">
        <v>133</v>
      </c>
      <c r="E45" s="4" t="s">
        <v>65</v>
      </c>
      <c r="F45" s="4"/>
      <c r="G45" s="1" t="s">
        <v>43</v>
      </c>
      <c r="H45" s="1" t="s">
        <v>59</v>
      </c>
      <c r="I45" s="1" t="s">
        <v>133</v>
      </c>
      <c r="J45" t="str">
        <f t="shared" si="4"/>
        <v>, CODE_DETAIL_NM VARCHAR(150) NULL COMMENT '코드상세명'</v>
      </c>
    </row>
    <row r="46" spans="2:10" x14ac:dyDescent="0.4">
      <c r="B46" s="4">
        <v>4</v>
      </c>
      <c r="C46" s="1" t="s">
        <v>524</v>
      </c>
      <c r="D46" s="1" t="s">
        <v>158</v>
      </c>
      <c r="E46" s="4" t="s">
        <v>23</v>
      </c>
      <c r="F46" s="4"/>
      <c r="G46" s="1" t="s">
        <v>43</v>
      </c>
      <c r="H46" s="1"/>
      <c r="I46" s="1" t="s">
        <v>158</v>
      </c>
      <c r="J46" t="str">
        <f t="shared" si="4"/>
        <v>, MODIFY_YN CHAR(1) NULL COMMENT '코드수정가능여부'</v>
      </c>
    </row>
    <row r="47" spans="2:10" x14ac:dyDescent="0.4">
      <c r="B47" s="4">
        <v>5</v>
      </c>
      <c r="C47" s="1" t="s">
        <v>525</v>
      </c>
      <c r="D47" s="1" t="s">
        <v>85</v>
      </c>
      <c r="E47" s="4" t="s">
        <v>115</v>
      </c>
      <c r="F47" s="4"/>
      <c r="G47" s="1" t="s">
        <v>43</v>
      </c>
      <c r="H47" s="1" t="s">
        <v>59</v>
      </c>
      <c r="I47" s="1" t="s">
        <v>85</v>
      </c>
      <c r="J47" t="str">
        <f t="shared" si="4"/>
        <v>, DETAIL_ORDER INT(2) NULL COMMENT '코드상세정렬순서'</v>
      </c>
    </row>
    <row r="48" spans="2:10" x14ac:dyDescent="0.4">
      <c r="B48" s="4">
        <v>6</v>
      </c>
      <c r="C48" s="1" t="s">
        <v>327</v>
      </c>
      <c r="D48" s="1" t="s">
        <v>329</v>
      </c>
      <c r="E48" s="4" t="s">
        <v>299</v>
      </c>
      <c r="F48" s="4"/>
      <c r="G48" s="1" t="s">
        <v>41</v>
      </c>
      <c r="H48" s="1" t="s">
        <v>59</v>
      </c>
      <c r="I48" s="1" t="s">
        <v>329</v>
      </c>
      <c r="J48" t="str">
        <f t="shared" si="4"/>
        <v>, FST_REG_SEQ INT NOT NULL COMMENT '최초등록자일련번호'</v>
      </c>
    </row>
    <row r="49" spans="2:10" x14ac:dyDescent="0.4">
      <c r="B49" s="4">
        <v>7</v>
      </c>
      <c r="C49" s="1" t="s">
        <v>50</v>
      </c>
      <c r="D49" s="1" t="s">
        <v>56</v>
      </c>
      <c r="E49" s="4" t="s">
        <v>49</v>
      </c>
      <c r="F49" s="4"/>
      <c r="G49" s="1" t="s">
        <v>41</v>
      </c>
      <c r="H49" s="1" t="s">
        <v>60</v>
      </c>
      <c r="I49" s="1" t="s">
        <v>56</v>
      </c>
      <c r="J49" t="str">
        <f t="shared" si="4"/>
        <v>, FST_REG_DTTI TIMESTAMP NOT NULL DEFAULT NOW() COMMENT '최초등록일시'</v>
      </c>
    </row>
    <row r="50" spans="2:10" x14ac:dyDescent="0.4">
      <c r="B50" s="4">
        <v>8</v>
      </c>
      <c r="C50" s="1" t="s">
        <v>520</v>
      </c>
      <c r="D50" s="1" t="s">
        <v>330</v>
      </c>
      <c r="E50" s="4" t="s">
        <v>299</v>
      </c>
      <c r="F50" s="4"/>
      <c r="G50" s="1" t="s">
        <v>41</v>
      </c>
      <c r="H50" s="1" t="s">
        <v>59</v>
      </c>
      <c r="I50" s="1" t="s">
        <v>330</v>
      </c>
      <c r="J50" t="str">
        <f t="shared" si="4"/>
        <v>, LST_UPD_SEQ INT NOT NULL COMMENT '최종수정자일련번호'</v>
      </c>
    </row>
    <row r="51" spans="2:10" x14ac:dyDescent="0.4">
      <c r="B51" s="4">
        <v>9</v>
      </c>
      <c r="C51" s="1" t="s">
        <v>515</v>
      </c>
      <c r="D51" s="1" t="s">
        <v>58</v>
      </c>
      <c r="E51" s="4" t="s">
        <v>49</v>
      </c>
      <c r="F51" s="4"/>
      <c r="G51" s="1" t="s">
        <v>41</v>
      </c>
      <c r="H51" s="1" t="s">
        <v>60</v>
      </c>
      <c r="I51" s="1" t="s">
        <v>58</v>
      </c>
      <c r="J51" t="str">
        <f t="shared" si="4"/>
        <v>, LST_UPD_DTTI TIMESTAMP NOT NULL DEFAULT NOW() COMMENT '최종수정일시'</v>
      </c>
    </row>
    <row r="52" spans="2:10" x14ac:dyDescent="0.4">
      <c r="J52" t="str">
        <f>_xlfn.CONCAT(") COMMENT '",E40,"';")</f>
        <v>) COMMENT '코드상세';</v>
      </c>
    </row>
    <row r="53" spans="2:10" x14ac:dyDescent="0.4">
      <c r="B53" s="6" t="s">
        <v>32</v>
      </c>
      <c r="C53" s="42" t="s">
        <v>44</v>
      </c>
      <c r="D53" s="42"/>
      <c r="E53" s="42"/>
      <c r="F53" s="42" t="s">
        <v>45</v>
      </c>
      <c r="G53" s="42"/>
      <c r="H53" s="42"/>
      <c r="I53" s="42"/>
      <c r="J53" t="str">
        <f>_xlfn.CONCAT("ALTER TABLE ",C40," ADD CONSTRAINT ",C54," PRIMARY KEY (")</f>
        <v>ALTER TABLE tb_code_detail ADD CONSTRAINT PK_tb_code_detail PRIMARY KEY (</v>
      </c>
    </row>
    <row r="54" spans="2:10" x14ac:dyDescent="0.4">
      <c r="B54" s="4">
        <v>1</v>
      </c>
      <c r="C54" s="43" t="str">
        <f>_xlfn.CONCAT("PK_",C40)</f>
        <v>PK_tb_code_detail</v>
      </c>
      <c r="D54" s="43"/>
      <c r="E54" s="43"/>
      <c r="F54" s="43" t="str">
        <f>C43</f>
        <v>CODE_GROUP</v>
      </c>
      <c r="G54" s="43"/>
      <c r="H54" s="43"/>
      <c r="I54" s="43"/>
      <c r="J54" t="str">
        <f>_xlfn.CONCAT(IF(B54=1,"",", "),F54)</f>
        <v>CODE_GROUP</v>
      </c>
    </row>
    <row r="55" spans="2:10" x14ac:dyDescent="0.4">
      <c r="B55" s="4">
        <v>2</v>
      </c>
      <c r="C55" s="43" t="str">
        <f>_xlfn.CONCAT("PK_",C40)</f>
        <v>PK_tb_code_detail</v>
      </c>
      <c r="D55" s="43"/>
      <c r="E55" s="43"/>
      <c r="F55" s="43" t="str">
        <f>C44</f>
        <v>CODE_DETAIL</v>
      </c>
      <c r="G55" s="43"/>
      <c r="H55" s="43"/>
      <c r="I55" s="43"/>
      <c r="J55" t="str">
        <f>_xlfn.CONCAT(IF(B55=1,"",", "),F55)</f>
        <v>, CODE_DETAIL</v>
      </c>
    </row>
    <row r="56" spans="2:10" x14ac:dyDescent="0.4">
      <c r="J56" t="str">
        <f>_xlfn.CONCAT(");")</f>
        <v>);</v>
      </c>
    </row>
    <row r="57" spans="2:10" x14ac:dyDescent="0.4">
      <c r="B57" s="38" t="s">
        <v>28</v>
      </c>
      <c r="C57" s="39"/>
      <c r="D57" s="39"/>
      <c r="E57" s="39"/>
      <c r="F57" s="39"/>
      <c r="G57" s="39"/>
      <c r="H57" s="39"/>
      <c r="I57" s="40"/>
    </row>
    <row r="58" spans="2:10" x14ac:dyDescent="0.4">
      <c r="B58" s="6" t="s">
        <v>1</v>
      </c>
      <c r="C58" s="4" t="s">
        <v>869</v>
      </c>
      <c r="D58" s="6" t="s">
        <v>3</v>
      </c>
      <c r="E58" s="4" t="s">
        <v>174</v>
      </c>
      <c r="F58" s="6" t="s">
        <v>29</v>
      </c>
      <c r="G58" s="4" t="s">
        <v>38</v>
      </c>
      <c r="H58" s="6" t="s">
        <v>30</v>
      </c>
      <c r="I58" s="7">
        <v>44942</v>
      </c>
      <c r="J58" t="str">
        <f>_xlfn.CONCAT("DROP TABLE IF EXISTS ",C58,";")</f>
        <v>DROP TABLE IF EXISTS tb_log_login;</v>
      </c>
    </row>
    <row r="59" spans="2:10" x14ac:dyDescent="0.4">
      <c r="B59" s="6" t="s">
        <v>31</v>
      </c>
      <c r="C59" s="41" t="s">
        <v>72</v>
      </c>
      <c r="D59" s="41"/>
      <c r="E59" s="41"/>
      <c r="F59" s="41"/>
      <c r="G59" s="41"/>
      <c r="H59" s="41"/>
      <c r="I59" s="41"/>
      <c r="J59" t="str">
        <f>_xlfn.CONCAT("CREATE TABLE ",C58)</f>
        <v>CREATE TABLE tb_log_login</v>
      </c>
    </row>
    <row r="60" spans="2:10" x14ac:dyDescent="0.4">
      <c r="B60" s="6" t="s">
        <v>32</v>
      </c>
      <c r="C60" s="6" t="s">
        <v>1</v>
      </c>
      <c r="D60" s="6" t="s">
        <v>3</v>
      </c>
      <c r="E60" s="6" t="s">
        <v>33</v>
      </c>
      <c r="F60" s="6" t="s">
        <v>34</v>
      </c>
      <c r="G60" s="6" t="s">
        <v>35</v>
      </c>
      <c r="H60" s="6" t="s">
        <v>22</v>
      </c>
      <c r="I60" s="6" t="s">
        <v>36</v>
      </c>
      <c r="J60" t="str">
        <f>_xlfn.CONCAT("(")</f>
        <v>(</v>
      </c>
    </row>
    <row r="61" spans="2:10" x14ac:dyDescent="0.4">
      <c r="B61" s="4">
        <v>1</v>
      </c>
      <c r="C61" s="1" t="s">
        <v>131</v>
      </c>
      <c r="D61" s="1" t="s">
        <v>86</v>
      </c>
      <c r="E61" s="4" t="s">
        <v>299</v>
      </c>
      <c r="F61" s="4">
        <v>1</v>
      </c>
      <c r="G61" s="1" t="s">
        <v>41</v>
      </c>
      <c r="H61" s="1" t="s">
        <v>326</v>
      </c>
      <c r="I61" s="1" t="s">
        <v>86</v>
      </c>
      <c r="J61" t="str">
        <f t="shared" ref="J61:J66" si="5">_xlfn.CONCAT(IF(B61=1,"",", "),C61," ",E61," ",G61,_xlfn.IFS(H61="","",H61="AUTO_INCREMENT"," AUTO_INCREMENT PRIMARY KEY",TRUE,_xlfn.CONCAT(" DEFAULT"," ",H61)), " COMMENT '",I61,"'")</f>
        <v>LOGIN_SEQ INT NOT NULL AUTO_INCREMENT PRIMARY KEY COMMENT '로그인일련번호'</v>
      </c>
    </row>
    <row r="62" spans="2:10" x14ac:dyDescent="0.4">
      <c r="B62" s="4">
        <v>2</v>
      </c>
      <c r="C62" s="1" t="s">
        <v>74</v>
      </c>
      <c r="D62" s="1" t="s">
        <v>75</v>
      </c>
      <c r="E62" s="4" t="s">
        <v>49</v>
      </c>
      <c r="F62" s="4"/>
      <c r="G62" s="1" t="s">
        <v>43</v>
      </c>
      <c r="H62" s="1" t="s">
        <v>60</v>
      </c>
      <c r="I62" s="1" t="s">
        <v>75</v>
      </c>
      <c r="J62" t="str">
        <f t="shared" si="5"/>
        <v>, LOGIN_DTTI TIMESTAMP NULL DEFAULT NOW() COMMENT '로그인일시'</v>
      </c>
    </row>
    <row r="63" spans="2:10" x14ac:dyDescent="0.4">
      <c r="B63" s="4">
        <v>3</v>
      </c>
      <c r="C63" s="1" t="s">
        <v>324</v>
      </c>
      <c r="D63" s="1" t="s">
        <v>325</v>
      </c>
      <c r="E63" s="4" t="s">
        <v>299</v>
      </c>
      <c r="F63" s="4"/>
      <c r="G63" s="1" t="s">
        <v>43</v>
      </c>
      <c r="H63" s="1" t="s">
        <v>59</v>
      </c>
      <c r="I63" s="1" t="s">
        <v>325</v>
      </c>
      <c r="J63" t="str">
        <f t="shared" si="5"/>
        <v>, USER_SEQ INT NULL COMMENT '사용자일련번호'</v>
      </c>
    </row>
    <row r="64" spans="2:10" x14ac:dyDescent="0.4">
      <c r="B64" s="4">
        <v>4</v>
      </c>
      <c r="C64" s="1" t="s">
        <v>260</v>
      </c>
      <c r="D64" s="1" t="s">
        <v>78</v>
      </c>
      <c r="E64" s="4" t="s">
        <v>46</v>
      </c>
      <c r="F64" s="4"/>
      <c r="G64" s="1" t="s">
        <v>43</v>
      </c>
      <c r="H64" s="1"/>
      <c r="I64" s="1" t="s">
        <v>78</v>
      </c>
      <c r="J64" t="str">
        <f t="shared" si="5"/>
        <v>, USER_ID VARCHAR(20) NULL COMMENT '사용자아이디'</v>
      </c>
    </row>
    <row r="65" spans="2:10" x14ac:dyDescent="0.4">
      <c r="B65" s="4">
        <v>5</v>
      </c>
      <c r="C65" s="1" t="s">
        <v>247</v>
      </c>
      <c r="D65" s="1" t="s">
        <v>76</v>
      </c>
      <c r="E65" s="4" t="s">
        <v>73</v>
      </c>
      <c r="F65" s="4"/>
      <c r="G65" s="1" t="s">
        <v>43</v>
      </c>
      <c r="H65" s="1" t="s">
        <v>59</v>
      </c>
      <c r="I65" s="1" t="s">
        <v>76</v>
      </c>
      <c r="J65" t="str">
        <f t="shared" si="5"/>
        <v>, IP VARCHAR(39) NULL COMMENT '사용자아이피'</v>
      </c>
    </row>
    <row r="66" spans="2:10" x14ac:dyDescent="0.4">
      <c r="B66" s="4">
        <v>6</v>
      </c>
      <c r="C66" s="1" t="s">
        <v>984</v>
      </c>
      <c r="D66" s="1" t="s">
        <v>77</v>
      </c>
      <c r="E66" s="4" t="s">
        <v>24</v>
      </c>
      <c r="F66" s="4"/>
      <c r="G66" s="1" t="s">
        <v>43</v>
      </c>
      <c r="H66" s="1" t="s">
        <v>59</v>
      </c>
      <c r="I66" s="1" t="s">
        <v>77</v>
      </c>
      <c r="J66" t="str">
        <f t="shared" si="5"/>
        <v>, LOGIN_CODE VARCHAR(10) NULL COMMENT '로그인코드'</v>
      </c>
    </row>
    <row r="67" spans="2:10" x14ac:dyDescent="0.4">
      <c r="J67" t="str">
        <f>_xlfn.CONCAT(") COMMENT '",E58,"';")</f>
        <v>) COMMENT '로그인로그';</v>
      </c>
    </row>
    <row r="68" spans="2:10" x14ac:dyDescent="0.4">
      <c r="B68" s="38" t="s">
        <v>28</v>
      </c>
      <c r="C68" s="39"/>
      <c r="D68" s="39"/>
      <c r="E68" s="39"/>
      <c r="F68" s="39"/>
      <c r="G68" s="39"/>
      <c r="H68" s="39"/>
      <c r="I68" s="40"/>
    </row>
    <row r="69" spans="2:10" x14ac:dyDescent="0.4">
      <c r="B69" s="6" t="s">
        <v>1</v>
      </c>
      <c r="C69" s="4" t="s">
        <v>870</v>
      </c>
      <c r="D69" s="6" t="s">
        <v>3</v>
      </c>
      <c r="E69" s="4" t="s">
        <v>173</v>
      </c>
      <c r="F69" s="6" t="s">
        <v>29</v>
      </c>
      <c r="G69" s="4" t="s">
        <v>38</v>
      </c>
      <c r="H69" s="6" t="s">
        <v>30</v>
      </c>
      <c r="I69" s="7">
        <v>44944</v>
      </c>
      <c r="J69" t="str">
        <f>_xlfn.CONCAT("DROP TABLE IF EXISTS ",C69,";")</f>
        <v>DROP TABLE IF EXISTS tb_log_req;</v>
      </c>
    </row>
    <row r="70" spans="2:10" x14ac:dyDescent="0.4">
      <c r="B70" s="6" t="s">
        <v>31</v>
      </c>
      <c r="C70" s="41" t="s">
        <v>162</v>
      </c>
      <c r="D70" s="41"/>
      <c r="E70" s="41"/>
      <c r="F70" s="41"/>
      <c r="G70" s="41"/>
      <c r="H70" s="41"/>
      <c r="I70" s="41"/>
      <c r="J70" t="str">
        <f>_xlfn.CONCAT("CREATE TABLE ",C69)</f>
        <v>CREATE TABLE tb_log_req</v>
      </c>
    </row>
    <row r="71" spans="2:10" x14ac:dyDescent="0.4">
      <c r="B71" s="6" t="s">
        <v>32</v>
      </c>
      <c r="C71" s="6" t="s">
        <v>1</v>
      </c>
      <c r="D71" s="6" t="s">
        <v>3</v>
      </c>
      <c r="E71" s="6" t="s">
        <v>33</v>
      </c>
      <c r="F71" s="6" t="s">
        <v>34</v>
      </c>
      <c r="G71" s="6" t="s">
        <v>35</v>
      </c>
      <c r="H71" s="6" t="s">
        <v>22</v>
      </c>
      <c r="I71" s="6" t="s">
        <v>36</v>
      </c>
      <c r="J71" t="str">
        <f>_xlfn.CONCAT("(")</f>
        <v>(</v>
      </c>
    </row>
    <row r="72" spans="2:10" x14ac:dyDescent="0.4">
      <c r="B72" s="4">
        <v>1</v>
      </c>
      <c r="C72" s="1" t="s">
        <v>163</v>
      </c>
      <c r="D72" s="1" t="s">
        <v>164</v>
      </c>
      <c r="E72" s="4" t="s">
        <v>299</v>
      </c>
      <c r="F72" s="4">
        <v>1</v>
      </c>
      <c r="G72" s="1" t="s">
        <v>41</v>
      </c>
      <c r="H72" s="1" t="s">
        <v>326</v>
      </c>
      <c r="I72" s="1" t="s">
        <v>164</v>
      </c>
      <c r="J72" t="str">
        <f>_xlfn.CONCAT(IF(B72=1,"",", "),C72," ",E72," ",G72,_xlfn.IFS(H72="","",H72="AUTO_INCREMENT"," AUTO_INCREMENT PRIMARY KEY",TRUE,_xlfn.CONCAT(" DEFAULT"," ",H72)), " COMMENT '",I72,"'")</f>
        <v>REQ_SEQ INT NOT NULL AUTO_INCREMENT PRIMARY KEY COMMENT '요청일련번호'</v>
      </c>
    </row>
    <row r="73" spans="2:10" x14ac:dyDescent="0.4">
      <c r="B73" s="4">
        <v>2</v>
      </c>
      <c r="C73" s="1" t="s">
        <v>165</v>
      </c>
      <c r="D73" s="1" t="s">
        <v>166</v>
      </c>
      <c r="E73" s="4" t="s">
        <v>49</v>
      </c>
      <c r="F73" s="4"/>
      <c r="G73" s="1" t="s">
        <v>43</v>
      </c>
      <c r="H73" s="1" t="s">
        <v>60</v>
      </c>
      <c r="I73" s="1" t="s">
        <v>166</v>
      </c>
      <c r="J73" t="str">
        <f t="shared" ref="J73:J78" si="6">_xlfn.CONCAT(IF(B73=1,"",", "),C73," ",E73," ",G73,_xlfn.IFS(H73="","",H73="AUTO_INCREMENT"," AUTO_INCREMENT PRIMARY KEY",TRUE,_xlfn.CONCAT(" DEFAULT"," ",H73)), " COMMENT '",I73,"'")</f>
        <v>, REQ_DTTI TIMESTAMP NULL DEFAULT NOW() COMMENT '요청일시'</v>
      </c>
    </row>
    <row r="74" spans="2:10" x14ac:dyDescent="0.4">
      <c r="B74" s="4">
        <v>3</v>
      </c>
      <c r="C74" s="1" t="s">
        <v>324</v>
      </c>
      <c r="D74" s="1" t="s">
        <v>325</v>
      </c>
      <c r="E74" s="4" t="s">
        <v>299</v>
      </c>
      <c r="F74" s="4"/>
      <c r="G74" s="1" t="s">
        <v>43</v>
      </c>
      <c r="H74" s="1" t="s">
        <v>59</v>
      </c>
      <c r="I74" s="1" t="s">
        <v>325</v>
      </c>
      <c r="J74" t="str">
        <f t="shared" si="6"/>
        <v>, USER_SEQ INT NULL COMMENT '사용자일련번호'</v>
      </c>
    </row>
    <row r="75" spans="2:10" x14ac:dyDescent="0.4">
      <c r="B75" s="4">
        <v>5</v>
      </c>
      <c r="C75" s="1" t="s">
        <v>247</v>
      </c>
      <c r="D75" s="1" t="s">
        <v>76</v>
      </c>
      <c r="E75" s="4" t="s">
        <v>73</v>
      </c>
      <c r="F75" s="4"/>
      <c r="G75" s="1" t="s">
        <v>43</v>
      </c>
      <c r="H75" s="1" t="s">
        <v>59</v>
      </c>
      <c r="I75" s="1" t="s">
        <v>76</v>
      </c>
      <c r="J75" t="str">
        <f t="shared" si="6"/>
        <v>, IP VARCHAR(39) NULL COMMENT '사용자아이피'</v>
      </c>
    </row>
    <row r="76" spans="2:10" x14ac:dyDescent="0.4">
      <c r="B76" s="4">
        <v>6</v>
      </c>
      <c r="C76" s="1" t="s">
        <v>257</v>
      </c>
      <c r="D76" s="1" t="s">
        <v>167</v>
      </c>
      <c r="E76" s="4" t="s">
        <v>169</v>
      </c>
      <c r="F76" s="4"/>
      <c r="G76" s="1" t="s">
        <v>43</v>
      </c>
      <c r="H76" s="1" t="s">
        <v>59</v>
      </c>
      <c r="I76" s="1" t="s">
        <v>167</v>
      </c>
      <c r="J76" t="str">
        <f t="shared" si="6"/>
        <v>, URI VARCHAR(100) NULL COMMENT '요청경로'</v>
      </c>
    </row>
    <row r="77" spans="2:10" x14ac:dyDescent="0.4">
      <c r="B77" s="4">
        <v>7</v>
      </c>
      <c r="C77" s="1" t="s">
        <v>258</v>
      </c>
      <c r="D77" s="1" t="s">
        <v>168</v>
      </c>
      <c r="E77" s="4" t="s">
        <v>170</v>
      </c>
      <c r="F77" s="4"/>
      <c r="G77" s="1" t="s">
        <v>43</v>
      </c>
      <c r="H77" s="1" t="s">
        <v>59</v>
      </c>
      <c r="I77" s="1" t="s">
        <v>168</v>
      </c>
      <c r="J77" t="str">
        <f t="shared" si="6"/>
        <v>, PARAM LONGTEXT NULL COMMENT '요청파라미터'</v>
      </c>
    </row>
    <row r="78" spans="2:10" x14ac:dyDescent="0.4">
      <c r="B78" s="4">
        <v>8</v>
      </c>
      <c r="C78" s="1" t="s">
        <v>171</v>
      </c>
      <c r="D78" s="1" t="s">
        <v>172</v>
      </c>
      <c r="E78" s="4" t="s">
        <v>169</v>
      </c>
      <c r="F78" s="4"/>
      <c r="G78" s="1" t="s">
        <v>43</v>
      </c>
      <c r="H78" s="1" t="s">
        <v>59</v>
      </c>
      <c r="I78" s="1" t="s">
        <v>172</v>
      </c>
      <c r="J78" t="str">
        <f t="shared" si="6"/>
        <v>, REQ_TYPE_CODE VARCHAR(100) NULL COMMENT '요청타입코드'</v>
      </c>
    </row>
    <row r="79" spans="2:10" x14ac:dyDescent="0.4">
      <c r="J79" t="str">
        <f>_xlfn.CONCAT(") COMMENT '",E69,"';")</f>
        <v>) COMMENT '요청로그';</v>
      </c>
    </row>
    <row r="80" spans="2:10" x14ac:dyDescent="0.4">
      <c r="B80" s="38" t="s">
        <v>28</v>
      </c>
      <c r="C80" s="39"/>
      <c r="D80" s="39"/>
      <c r="E80" s="39"/>
      <c r="F80" s="39"/>
      <c r="G80" s="39"/>
      <c r="H80" s="39"/>
      <c r="I80" s="40"/>
    </row>
    <row r="81" spans="2:10" x14ac:dyDescent="0.4">
      <c r="B81" s="6" t="s">
        <v>1</v>
      </c>
      <c r="C81" s="4" t="s">
        <v>871</v>
      </c>
      <c r="D81" s="6" t="s">
        <v>3</v>
      </c>
      <c r="E81" s="4" t="s">
        <v>90</v>
      </c>
      <c r="F81" s="6" t="s">
        <v>29</v>
      </c>
      <c r="G81" s="4" t="s">
        <v>38</v>
      </c>
      <c r="H81" s="6" t="s">
        <v>30</v>
      </c>
      <c r="I81" s="7">
        <v>44942</v>
      </c>
      <c r="J81" t="str">
        <f>_xlfn.CONCAT("DROP TABLE IF EXISTS ",C81,";")</f>
        <v>DROP TABLE IF EXISTS tb_board_notice;</v>
      </c>
    </row>
    <row r="82" spans="2:10" x14ac:dyDescent="0.4">
      <c r="B82" s="6" t="s">
        <v>31</v>
      </c>
      <c r="C82" s="41" t="s">
        <v>91</v>
      </c>
      <c r="D82" s="41"/>
      <c r="E82" s="41"/>
      <c r="F82" s="41"/>
      <c r="G82" s="41"/>
      <c r="H82" s="41"/>
      <c r="I82" s="41"/>
      <c r="J82" t="str">
        <f>_xlfn.CONCAT("CREATE TABLE ",C81)</f>
        <v>CREATE TABLE tb_board_notice</v>
      </c>
    </row>
    <row r="83" spans="2:10" x14ac:dyDescent="0.4">
      <c r="B83" s="6" t="s">
        <v>32</v>
      </c>
      <c r="C83" s="6" t="s">
        <v>1</v>
      </c>
      <c r="D83" s="6" t="s">
        <v>3</v>
      </c>
      <c r="E83" s="6" t="s">
        <v>33</v>
      </c>
      <c r="F83" s="6" t="s">
        <v>34</v>
      </c>
      <c r="G83" s="6" t="s">
        <v>35</v>
      </c>
      <c r="H83" s="6" t="s">
        <v>22</v>
      </c>
      <c r="I83" s="6" t="s">
        <v>36</v>
      </c>
      <c r="J83" t="str">
        <f>_xlfn.CONCAT("(")</f>
        <v>(</v>
      </c>
    </row>
    <row r="84" spans="2:10" x14ac:dyDescent="0.4">
      <c r="B84" s="4">
        <v>1</v>
      </c>
      <c r="C84" s="1" t="s">
        <v>92</v>
      </c>
      <c r="D84" s="1" t="s">
        <v>89</v>
      </c>
      <c r="E84" s="4" t="s">
        <v>299</v>
      </c>
      <c r="F84" s="4">
        <v>1</v>
      </c>
      <c r="G84" s="1" t="s">
        <v>41</v>
      </c>
      <c r="H84" s="1" t="s">
        <v>326</v>
      </c>
      <c r="I84" s="1" t="s">
        <v>89</v>
      </c>
      <c r="J84" t="str">
        <f>_xlfn.CONCAT(IF(B84=1,"",", "),C84," ",E84," ",G84,_xlfn.IFS(H84="","",H84="AUTO_INCREMENT"," AUTO_INCREMENT PRIMARY KEY",TRUE,_xlfn.CONCAT(" DEFAULT"," ",H84)), " COMMENT '",I84,"'")</f>
        <v>BOARD_SEQ INT NOT NULL AUTO_INCREMENT PRIMARY KEY COMMENT '게시글일련번호'</v>
      </c>
    </row>
    <row r="85" spans="2:10" x14ac:dyDescent="0.4">
      <c r="B85" s="4">
        <v>2</v>
      </c>
      <c r="C85" s="1" t="s">
        <v>251</v>
      </c>
      <c r="D85" s="1" t="s">
        <v>98</v>
      </c>
      <c r="E85" s="4" t="s">
        <v>47</v>
      </c>
      <c r="F85" s="4"/>
      <c r="G85" s="1" t="s">
        <v>43</v>
      </c>
      <c r="H85" s="1"/>
      <c r="I85" s="1" t="s">
        <v>98</v>
      </c>
      <c r="J85" t="str">
        <f t="shared" ref="J85:J94" si="7">_xlfn.CONCAT(IF(B85=1,"",", "),C85," ",E85," ",G85,_xlfn.IFS(H85="","",H85="AUTO_INCREMENT"," AUTO_INCREMENT PRIMARY KEY",TRUE,_xlfn.CONCAT(" DEFAULT"," ",H85)), " COMMENT '",I85,"'")</f>
        <v>, TITLE VARCHAR(300) NULL COMMENT '공지사항제목'</v>
      </c>
    </row>
    <row r="86" spans="2:10" x14ac:dyDescent="0.4">
      <c r="B86" s="4">
        <v>3</v>
      </c>
      <c r="C86" s="1" t="s">
        <v>252</v>
      </c>
      <c r="D86" s="1" t="s">
        <v>99</v>
      </c>
      <c r="E86" s="4" t="s">
        <v>87</v>
      </c>
      <c r="F86" s="4"/>
      <c r="G86" s="1" t="s">
        <v>43</v>
      </c>
      <c r="H86" s="1"/>
      <c r="I86" s="1" t="s">
        <v>99</v>
      </c>
      <c r="J86" t="str">
        <f t="shared" si="7"/>
        <v>, CN LONGTEXT NULL COMMENT '공지사항내용'</v>
      </c>
    </row>
    <row r="87" spans="2:10" x14ac:dyDescent="0.4">
      <c r="B87" s="4">
        <v>4</v>
      </c>
      <c r="C87" s="1" t="s">
        <v>253</v>
      </c>
      <c r="D87" s="1" t="s">
        <v>102</v>
      </c>
      <c r="E87" s="4" t="s">
        <v>20</v>
      </c>
      <c r="F87" s="4"/>
      <c r="G87" s="1" t="s">
        <v>43</v>
      </c>
      <c r="H87" s="1"/>
      <c r="I87" s="1" t="s">
        <v>102</v>
      </c>
      <c r="J87" t="str">
        <f t="shared" si="7"/>
        <v>, STR_DT VARCHAR(8) NULL COMMENT '공지사항게시시작일'</v>
      </c>
    </row>
    <row r="88" spans="2:10" x14ac:dyDescent="0.4">
      <c r="B88" s="4">
        <v>5</v>
      </c>
      <c r="C88" s="1" t="s">
        <v>254</v>
      </c>
      <c r="D88" s="1" t="s">
        <v>103</v>
      </c>
      <c r="E88" s="4" t="s">
        <v>20</v>
      </c>
      <c r="F88" s="4"/>
      <c r="G88" s="1" t="s">
        <v>43</v>
      </c>
      <c r="H88" s="1"/>
      <c r="I88" s="1" t="s">
        <v>103</v>
      </c>
      <c r="J88" t="str">
        <f t="shared" si="7"/>
        <v>, END_DT VARCHAR(8) NULL COMMENT '공지사항게시종료일'</v>
      </c>
    </row>
    <row r="89" spans="2:10" x14ac:dyDescent="0.4">
      <c r="B89" s="4">
        <v>6</v>
      </c>
      <c r="C89" s="1" t="s">
        <v>255</v>
      </c>
      <c r="D89" s="1" t="s">
        <v>101</v>
      </c>
      <c r="E89" s="4" t="s">
        <v>23</v>
      </c>
      <c r="F89" s="4"/>
      <c r="G89" s="1" t="s">
        <v>43</v>
      </c>
      <c r="H89" s="1"/>
      <c r="I89" s="1" t="s">
        <v>101</v>
      </c>
      <c r="J89" t="str">
        <f t="shared" si="7"/>
        <v>, POP_YN CHAR(1) NULL COMMENT '공지사항팝업여부'</v>
      </c>
    </row>
    <row r="90" spans="2:10" x14ac:dyDescent="0.4">
      <c r="B90" s="4">
        <v>7</v>
      </c>
      <c r="C90" s="1" t="s">
        <v>256</v>
      </c>
      <c r="D90" s="1" t="s">
        <v>100</v>
      </c>
      <c r="E90" s="4" t="s">
        <v>88</v>
      </c>
      <c r="F90" s="4"/>
      <c r="G90" s="1" t="s">
        <v>43</v>
      </c>
      <c r="H90" s="1">
        <v>0</v>
      </c>
      <c r="I90" s="1" t="s">
        <v>100</v>
      </c>
      <c r="J90" t="str">
        <f t="shared" si="7"/>
        <v>, HIT INT NULL DEFAULT 0 COMMENT '공지사항조회수'</v>
      </c>
    </row>
    <row r="91" spans="2:10" x14ac:dyDescent="0.4">
      <c r="B91" s="4">
        <v>8</v>
      </c>
      <c r="C91" s="1" t="s">
        <v>327</v>
      </c>
      <c r="D91" s="1" t="s">
        <v>329</v>
      </c>
      <c r="E91" s="4" t="s">
        <v>299</v>
      </c>
      <c r="F91" s="4"/>
      <c r="G91" s="1" t="s">
        <v>41</v>
      </c>
      <c r="H91" s="1" t="s">
        <v>59</v>
      </c>
      <c r="I91" s="1" t="s">
        <v>329</v>
      </c>
      <c r="J91" t="str">
        <f t="shared" si="7"/>
        <v>, FST_REG_SEQ INT NOT NULL COMMENT '최초등록자일련번호'</v>
      </c>
    </row>
    <row r="92" spans="2:10" x14ac:dyDescent="0.4">
      <c r="B92" s="4">
        <v>9</v>
      </c>
      <c r="C92" s="1" t="s">
        <v>50</v>
      </c>
      <c r="D92" s="1" t="s">
        <v>56</v>
      </c>
      <c r="E92" s="4" t="s">
        <v>49</v>
      </c>
      <c r="F92" s="4"/>
      <c r="G92" s="1" t="s">
        <v>41</v>
      </c>
      <c r="H92" s="1" t="s">
        <v>60</v>
      </c>
      <c r="I92" s="1" t="s">
        <v>56</v>
      </c>
      <c r="J92" t="str">
        <f t="shared" si="7"/>
        <v>, FST_REG_DTTI TIMESTAMP NOT NULL DEFAULT NOW() COMMENT '최초등록일시'</v>
      </c>
    </row>
    <row r="93" spans="2:10" x14ac:dyDescent="0.4">
      <c r="B93" s="4">
        <v>10</v>
      </c>
      <c r="C93" s="1" t="s">
        <v>520</v>
      </c>
      <c r="D93" s="1" t="s">
        <v>330</v>
      </c>
      <c r="E93" s="4" t="s">
        <v>299</v>
      </c>
      <c r="F93" s="4"/>
      <c r="G93" s="1" t="s">
        <v>41</v>
      </c>
      <c r="H93" s="1" t="s">
        <v>59</v>
      </c>
      <c r="I93" s="1" t="s">
        <v>330</v>
      </c>
      <c r="J93" t="str">
        <f t="shared" si="7"/>
        <v>, LST_UPD_SEQ INT NOT NULL COMMENT '최종수정자일련번호'</v>
      </c>
    </row>
    <row r="94" spans="2:10" x14ac:dyDescent="0.4">
      <c r="B94" s="4">
        <v>11</v>
      </c>
      <c r="C94" s="1" t="s">
        <v>515</v>
      </c>
      <c r="D94" s="1" t="s">
        <v>58</v>
      </c>
      <c r="E94" s="4" t="s">
        <v>49</v>
      </c>
      <c r="F94" s="4"/>
      <c r="G94" s="1" t="s">
        <v>41</v>
      </c>
      <c r="H94" s="1" t="s">
        <v>60</v>
      </c>
      <c r="I94" s="1" t="s">
        <v>58</v>
      </c>
      <c r="J94" t="str">
        <f t="shared" si="7"/>
        <v>, LST_UPD_DTTI TIMESTAMP NOT NULL DEFAULT NOW() COMMENT '최종수정일시'</v>
      </c>
    </row>
    <row r="95" spans="2:10" x14ac:dyDescent="0.4">
      <c r="J95" t="str">
        <f>_xlfn.CONCAT(");")</f>
        <v>);</v>
      </c>
    </row>
    <row r="96" spans="2:10" x14ac:dyDescent="0.4">
      <c r="B96" s="38" t="s">
        <v>28</v>
      </c>
      <c r="C96" s="39"/>
      <c r="D96" s="39"/>
      <c r="E96" s="39"/>
      <c r="F96" s="39"/>
      <c r="G96" s="39"/>
      <c r="H96" s="39"/>
      <c r="I96" s="40"/>
    </row>
    <row r="97" spans="2:10" x14ac:dyDescent="0.4">
      <c r="B97" s="6" t="s">
        <v>1</v>
      </c>
      <c r="C97" s="4" t="s">
        <v>872</v>
      </c>
      <c r="D97" s="6" t="s">
        <v>3</v>
      </c>
      <c r="E97" s="4" t="s">
        <v>104</v>
      </c>
      <c r="F97" s="6" t="s">
        <v>29</v>
      </c>
      <c r="G97" s="4" t="s">
        <v>38</v>
      </c>
      <c r="H97" s="6" t="s">
        <v>30</v>
      </c>
      <c r="I97" s="7">
        <v>44942</v>
      </c>
      <c r="J97" t="str">
        <f>_xlfn.CONCAT("DROP TABLE IF EXISTS ",C97,";")</f>
        <v>DROP TABLE IF EXISTS tb_atcfile;</v>
      </c>
    </row>
    <row r="98" spans="2:10" x14ac:dyDescent="0.4">
      <c r="B98" s="6" t="s">
        <v>31</v>
      </c>
      <c r="C98" s="41" t="s">
        <v>105</v>
      </c>
      <c r="D98" s="41"/>
      <c r="E98" s="41"/>
      <c r="F98" s="41"/>
      <c r="G98" s="41"/>
      <c r="H98" s="41"/>
      <c r="I98" s="41"/>
      <c r="J98" t="str">
        <f>_xlfn.CONCAT("CREATE TABLE ",C97)</f>
        <v>CREATE TABLE tb_atcfile</v>
      </c>
    </row>
    <row r="99" spans="2:10" x14ac:dyDescent="0.4">
      <c r="B99" s="6" t="s">
        <v>32</v>
      </c>
      <c r="C99" s="6" t="s">
        <v>1</v>
      </c>
      <c r="D99" s="6" t="s">
        <v>3</v>
      </c>
      <c r="E99" s="6" t="s">
        <v>33</v>
      </c>
      <c r="F99" s="6" t="s">
        <v>34</v>
      </c>
      <c r="G99" s="6" t="s">
        <v>35</v>
      </c>
      <c r="H99" s="6" t="s">
        <v>22</v>
      </c>
      <c r="I99" s="6" t="s">
        <v>36</v>
      </c>
      <c r="J99" t="str">
        <f>_xlfn.CONCAT("(")</f>
        <v>(</v>
      </c>
    </row>
    <row r="100" spans="2:10" x14ac:dyDescent="0.4">
      <c r="B100" s="4">
        <v>1</v>
      </c>
      <c r="C100" s="1" t="s">
        <v>92</v>
      </c>
      <c r="D100" s="1" t="s">
        <v>89</v>
      </c>
      <c r="E100" s="4" t="s">
        <v>299</v>
      </c>
      <c r="F100" s="4">
        <v>1</v>
      </c>
      <c r="G100" s="1" t="s">
        <v>40</v>
      </c>
      <c r="H100" s="1" t="s">
        <v>59</v>
      </c>
      <c r="I100" s="1" t="s">
        <v>89</v>
      </c>
      <c r="J100" t="str">
        <f>_xlfn.CONCAT(IF(B100=1,"",", "),C100," ",E100," ",G100,_xlfn.IFS(H100="","",H100="AUTO_INCREMENT"," AUTO_INCREMENT PRIMARY KEY",TRUE,_xlfn.CONCAT(" DEFAULT"," ",H100)), " COMMENT '",I100,"'")</f>
        <v>BOARD_SEQ INT NOT NULL COMMENT '게시글일련번호'</v>
      </c>
    </row>
    <row r="101" spans="2:10" x14ac:dyDescent="0.4">
      <c r="B101" s="4">
        <v>2</v>
      </c>
      <c r="C101" s="1" t="s">
        <v>112</v>
      </c>
      <c r="D101" s="1" t="s">
        <v>113</v>
      </c>
      <c r="E101" s="4" t="s">
        <v>68</v>
      </c>
      <c r="F101" s="4">
        <v>2</v>
      </c>
      <c r="G101" s="1" t="s">
        <v>40</v>
      </c>
      <c r="H101" s="1" t="s">
        <v>59</v>
      </c>
      <c r="I101" s="1" t="s">
        <v>331</v>
      </c>
      <c r="J101" t="str">
        <f t="shared" ref="J101:J111" si="8">_xlfn.CONCAT(IF(B101=1,"",", "),C101," ",E101," ",G101,_xlfn.IFS(H101="","",H101="AUTO_INCREMENT"," AUTO_INCREMENT PRIMARY KEY",TRUE,_xlfn.CONCAT(" DEFAULT"," ",H101)), " COMMENT '",I101,"'")</f>
        <v>, BOARD_CODE VARCHAR(10) NOT NULL COMMENT '게시판구분코드(01:공지사항,02:자유게시판,03:상품요청)'</v>
      </c>
    </row>
    <row r="102" spans="2:10" x14ac:dyDescent="0.4">
      <c r="B102" s="4">
        <v>3</v>
      </c>
      <c r="C102" s="1" t="s">
        <v>114</v>
      </c>
      <c r="D102" s="1" t="s">
        <v>160</v>
      </c>
      <c r="E102" s="4" t="s">
        <v>68</v>
      </c>
      <c r="F102" s="3">
        <v>3</v>
      </c>
      <c r="G102" s="1" t="s">
        <v>40</v>
      </c>
      <c r="H102" s="1" t="s">
        <v>59</v>
      </c>
      <c r="I102" s="1" t="s">
        <v>160</v>
      </c>
      <c r="J102" t="str">
        <f>_xlfn.CONCAT(IF(B102=1,"",", "),C102," ",E102," ",G102,_xlfn.IFS(H102="","",H102="AUTO_INCREMENT"," AUTO_INCREMENT PRIMARY KEY",TRUE,_xlfn.CONCAT(" DEFAULT"," ",H102)), " COMMENT '",I102,"'")</f>
        <v>, ATCFILE_NUM VARCHAR(10) NOT NULL COMMENT '파일번호'</v>
      </c>
    </row>
    <row r="103" spans="2:10" x14ac:dyDescent="0.4">
      <c r="B103" s="4">
        <v>4</v>
      </c>
      <c r="C103" s="1" t="s">
        <v>295</v>
      </c>
      <c r="D103" s="1" t="s">
        <v>111</v>
      </c>
      <c r="E103" s="4" t="s">
        <v>47</v>
      </c>
      <c r="F103" s="4"/>
      <c r="G103" s="1" t="s">
        <v>42</v>
      </c>
      <c r="H103" s="1" t="s">
        <v>59</v>
      </c>
      <c r="I103" s="1" t="s">
        <v>111</v>
      </c>
      <c r="J103" t="str">
        <f t="shared" si="8"/>
        <v>, ATC_FILE_NM VARCHAR(300) NULL COMMENT '파일명'</v>
      </c>
    </row>
    <row r="104" spans="2:10" x14ac:dyDescent="0.4">
      <c r="B104" s="4">
        <v>5</v>
      </c>
      <c r="C104" s="1" t="s">
        <v>296</v>
      </c>
      <c r="D104" s="1" t="s">
        <v>116</v>
      </c>
      <c r="E104" s="4" t="s">
        <v>106</v>
      </c>
      <c r="F104" s="4"/>
      <c r="G104" s="1" t="s">
        <v>42</v>
      </c>
      <c r="H104" s="1" t="s">
        <v>59</v>
      </c>
      <c r="I104" s="1" t="s">
        <v>116</v>
      </c>
      <c r="J104" t="str">
        <f t="shared" si="8"/>
        <v>, SAVE_ATC_FILE_NM VARCHAR(320) NULL COMMENT '파일저장명'</v>
      </c>
    </row>
    <row r="105" spans="2:10" x14ac:dyDescent="0.4">
      <c r="B105" s="4">
        <v>6</v>
      </c>
      <c r="C105" s="1" t="s">
        <v>294</v>
      </c>
      <c r="D105" s="1" t="s">
        <v>117</v>
      </c>
      <c r="E105" s="4" t="s">
        <v>107</v>
      </c>
      <c r="F105" s="4"/>
      <c r="G105" s="1" t="s">
        <v>42</v>
      </c>
      <c r="H105" s="1" t="s">
        <v>59</v>
      </c>
      <c r="I105" s="1" t="s">
        <v>117</v>
      </c>
      <c r="J105" t="str">
        <f t="shared" si="8"/>
        <v>, ATC_FILE_PATH VARCHAR(600) NULL COMMENT '파일경로'</v>
      </c>
    </row>
    <row r="106" spans="2:10" x14ac:dyDescent="0.4">
      <c r="B106" s="4">
        <v>7</v>
      </c>
      <c r="C106" s="1" t="s">
        <v>109</v>
      </c>
      <c r="D106" s="1" t="s">
        <v>118</v>
      </c>
      <c r="E106" s="4" t="s">
        <v>108</v>
      </c>
      <c r="F106" s="4"/>
      <c r="G106" s="1" t="s">
        <v>42</v>
      </c>
      <c r="H106" s="1" t="s">
        <v>59</v>
      </c>
      <c r="I106" s="1" t="s">
        <v>118</v>
      </c>
      <c r="J106" t="str">
        <f t="shared" si="8"/>
        <v>, ATC_FILE_CAPA_VAL BIGINT NULL COMMENT '파일용량'</v>
      </c>
    </row>
    <row r="107" spans="2:10" x14ac:dyDescent="0.4">
      <c r="B107" s="4">
        <v>8</v>
      </c>
      <c r="C107" s="1" t="s">
        <v>110</v>
      </c>
      <c r="D107" s="1" t="s">
        <v>119</v>
      </c>
      <c r="E107" s="4" t="s">
        <v>24</v>
      </c>
      <c r="F107" s="4"/>
      <c r="G107" s="1" t="s">
        <v>42</v>
      </c>
      <c r="H107" s="1" t="s">
        <v>59</v>
      </c>
      <c r="I107" s="1" t="s">
        <v>119</v>
      </c>
      <c r="J107" t="str">
        <f t="shared" si="8"/>
        <v>, ATC_FILE_EXTS VARCHAR(10) NULL COMMENT '파일확장자'</v>
      </c>
    </row>
    <row r="108" spans="2:10" x14ac:dyDescent="0.4">
      <c r="B108" s="4">
        <v>9</v>
      </c>
      <c r="C108" s="1" t="s">
        <v>327</v>
      </c>
      <c r="D108" s="1" t="s">
        <v>329</v>
      </c>
      <c r="E108" s="4" t="s">
        <v>299</v>
      </c>
      <c r="F108" s="4"/>
      <c r="G108" s="1" t="s">
        <v>40</v>
      </c>
      <c r="H108" s="1" t="s">
        <v>59</v>
      </c>
      <c r="I108" s="1" t="s">
        <v>329</v>
      </c>
      <c r="J108" t="str">
        <f t="shared" si="8"/>
        <v>, FST_REG_SEQ INT NOT NULL COMMENT '최초등록자일련번호'</v>
      </c>
    </row>
    <row r="109" spans="2:10" x14ac:dyDescent="0.4">
      <c r="B109" s="4">
        <v>10</v>
      </c>
      <c r="C109" s="1" t="s">
        <v>50</v>
      </c>
      <c r="D109" s="1" t="s">
        <v>56</v>
      </c>
      <c r="E109" s="4" t="s">
        <v>49</v>
      </c>
      <c r="F109" s="4"/>
      <c r="G109" s="1" t="s">
        <v>40</v>
      </c>
      <c r="H109" s="1" t="s">
        <v>60</v>
      </c>
      <c r="I109" s="1" t="s">
        <v>56</v>
      </c>
      <c r="J109" t="str">
        <f t="shared" si="8"/>
        <v>, FST_REG_DTTI TIMESTAMP NOT NULL DEFAULT NOW() COMMENT '최초등록일시'</v>
      </c>
    </row>
    <row r="110" spans="2:10" x14ac:dyDescent="0.4">
      <c r="B110" s="4">
        <v>11</v>
      </c>
      <c r="C110" s="1" t="s">
        <v>520</v>
      </c>
      <c r="D110" s="1" t="s">
        <v>330</v>
      </c>
      <c r="E110" s="4" t="s">
        <v>299</v>
      </c>
      <c r="F110" s="4"/>
      <c r="G110" s="1" t="s">
        <v>40</v>
      </c>
      <c r="H110" s="1" t="s">
        <v>59</v>
      </c>
      <c r="I110" s="1" t="s">
        <v>330</v>
      </c>
      <c r="J110" t="str">
        <f t="shared" si="8"/>
        <v>, LST_UPD_SEQ INT NOT NULL COMMENT '최종수정자일련번호'</v>
      </c>
    </row>
    <row r="111" spans="2:10" x14ac:dyDescent="0.4">
      <c r="B111" s="4">
        <v>12</v>
      </c>
      <c r="C111" s="1" t="s">
        <v>515</v>
      </c>
      <c r="D111" s="1" t="s">
        <v>57</v>
      </c>
      <c r="E111" s="4" t="s">
        <v>49</v>
      </c>
      <c r="F111" s="4"/>
      <c r="G111" s="1" t="s">
        <v>40</v>
      </c>
      <c r="H111" s="1" t="s">
        <v>60</v>
      </c>
      <c r="I111" s="1" t="s">
        <v>57</v>
      </c>
      <c r="J111" t="str">
        <f t="shared" si="8"/>
        <v>, LST_UPD_DTTI TIMESTAMP NOT NULL DEFAULT NOW() COMMENT '최종수정일시'</v>
      </c>
    </row>
    <row r="112" spans="2:10" x14ac:dyDescent="0.4">
      <c r="J112" t="str">
        <f>_xlfn.CONCAT(") COMMENT '",E97,"';")</f>
        <v>) COMMENT '첨부파일';</v>
      </c>
    </row>
    <row r="113" spans="2:10" x14ac:dyDescent="0.4">
      <c r="B113" s="6" t="s">
        <v>32</v>
      </c>
      <c r="C113" s="42" t="s">
        <v>44</v>
      </c>
      <c r="D113" s="42"/>
      <c r="E113" s="42"/>
      <c r="F113" s="42" t="s">
        <v>45</v>
      </c>
      <c r="G113" s="42"/>
      <c r="H113" s="42"/>
      <c r="I113" s="42"/>
      <c r="J113" t="str">
        <f>_xlfn.CONCAT("ALTER TABLE ",C97," ADD CONSTRAINT ",C114," PRIMARY KEY (")</f>
        <v>ALTER TABLE tb_atcfile ADD CONSTRAINT PK_tb_atcfile PRIMARY KEY (</v>
      </c>
    </row>
    <row r="114" spans="2:10" x14ac:dyDescent="0.4">
      <c r="B114" s="4">
        <v>1</v>
      </c>
      <c r="C114" s="43" t="str">
        <f>_xlfn.CONCAT("PK_",C97)</f>
        <v>PK_tb_atcfile</v>
      </c>
      <c r="D114" s="43"/>
      <c r="E114" s="43"/>
      <c r="F114" s="43" t="str">
        <f>C100</f>
        <v>BOARD_SEQ</v>
      </c>
      <c r="G114" s="43"/>
      <c r="H114" s="43"/>
      <c r="I114" s="43"/>
      <c r="J114" t="str">
        <f>_xlfn.CONCAT(IF(B114=1,"",", "),F114)</f>
        <v>BOARD_SEQ</v>
      </c>
    </row>
    <row r="115" spans="2:10" x14ac:dyDescent="0.4">
      <c r="B115" s="4">
        <v>2</v>
      </c>
      <c r="C115" s="43" t="str">
        <f>_xlfn.CONCAT("PK_",C97)</f>
        <v>PK_tb_atcfile</v>
      </c>
      <c r="D115" s="43"/>
      <c r="E115" s="43"/>
      <c r="F115" s="43" t="str">
        <f>C101</f>
        <v>BOARD_CODE</v>
      </c>
      <c r="G115" s="43"/>
      <c r="H115" s="43"/>
      <c r="I115" s="43"/>
      <c r="J115" t="str">
        <f>_xlfn.CONCAT(IF(B115=1,"",", "),F115)</f>
        <v>, BOARD_CODE</v>
      </c>
    </row>
    <row r="116" spans="2:10" x14ac:dyDescent="0.4">
      <c r="B116" s="4">
        <v>3</v>
      </c>
      <c r="C116" s="43" t="str">
        <f>_xlfn.CONCAT("PK_",C97)</f>
        <v>PK_tb_atcfile</v>
      </c>
      <c r="D116" s="43"/>
      <c r="E116" s="43"/>
      <c r="F116" s="43" t="str">
        <f>C102</f>
        <v>ATCFILE_NUM</v>
      </c>
      <c r="G116" s="43"/>
      <c r="H116" s="43"/>
      <c r="I116" s="43"/>
      <c r="J116" t="str">
        <f>_xlfn.CONCAT(IF(B116=1,"",", "),F116)</f>
        <v>, ATCFILE_NUM</v>
      </c>
    </row>
    <row r="117" spans="2:10" x14ac:dyDescent="0.4">
      <c r="J117" t="str">
        <f>_xlfn.CONCAT(");")</f>
        <v>);</v>
      </c>
    </row>
    <row r="118" spans="2:10" x14ac:dyDescent="0.4">
      <c r="B118" s="38" t="s">
        <v>28</v>
      </c>
      <c r="C118" s="39"/>
      <c r="D118" s="39"/>
      <c r="E118" s="39"/>
      <c r="F118" s="39"/>
      <c r="G118" s="39"/>
      <c r="H118" s="39"/>
      <c r="I118" s="40"/>
    </row>
    <row r="119" spans="2:10" x14ac:dyDescent="0.4">
      <c r="B119" s="6" t="s">
        <v>1</v>
      </c>
      <c r="C119" s="4" t="s">
        <v>873</v>
      </c>
      <c r="D119" s="6" t="s">
        <v>3</v>
      </c>
      <c r="E119" s="4" t="s">
        <v>120</v>
      </c>
      <c r="F119" s="6" t="s">
        <v>29</v>
      </c>
      <c r="G119" s="4" t="s">
        <v>38</v>
      </c>
      <c r="H119" s="6" t="s">
        <v>30</v>
      </c>
      <c r="I119" s="7">
        <v>44942</v>
      </c>
      <c r="J119" t="str">
        <f>_xlfn.CONCAT("DROP TABLE IF EXISTS ",C119,";")</f>
        <v>DROP TABLE IF EXISTS tb_poli;</v>
      </c>
    </row>
    <row r="120" spans="2:10" x14ac:dyDescent="0.4">
      <c r="B120" s="6" t="s">
        <v>31</v>
      </c>
      <c r="C120" s="41" t="s">
        <v>121</v>
      </c>
      <c r="D120" s="41"/>
      <c r="E120" s="41"/>
      <c r="F120" s="41"/>
      <c r="G120" s="41"/>
      <c r="H120" s="41"/>
      <c r="I120" s="41"/>
      <c r="J120" t="str">
        <f>_xlfn.CONCAT("CREATE TABLE ",C119)</f>
        <v>CREATE TABLE tb_poli</v>
      </c>
    </row>
    <row r="121" spans="2:10" x14ac:dyDescent="0.4">
      <c r="B121" s="6" t="s">
        <v>32</v>
      </c>
      <c r="C121" s="6" t="s">
        <v>1</v>
      </c>
      <c r="D121" s="6" t="s">
        <v>3</v>
      </c>
      <c r="E121" s="6" t="s">
        <v>33</v>
      </c>
      <c r="F121" s="6" t="s">
        <v>34</v>
      </c>
      <c r="G121" s="6" t="s">
        <v>35</v>
      </c>
      <c r="H121" s="6" t="s">
        <v>22</v>
      </c>
      <c r="I121" s="6" t="s">
        <v>36</v>
      </c>
      <c r="J121" t="str">
        <f>_xlfn.CONCAT("(")</f>
        <v>(</v>
      </c>
    </row>
    <row r="122" spans="2:10" x14ac:dyDescent="0.4">
      <c r="B122" s="4">
        <v>1</v>
      </c>
      <c r="C122" s="1" t="s">
        <v>126</v>
      </c>
      <c r="D122" s="1" t="s">
        <v>127</v>
      </c>
      <c r="E122" s="4" t="s">
        <v>299</v>
      </c>
      <c r="F122" s="4">
        <v>1</v>
      </c>
      <c r="G122" s="1" t="s">
        <v>40</v>
      </c>
      <c r="H122" s="1" t="s">
        <v>326</v>
      </c>
      <c r="I122" s="1" t="s">
        <v>127</v>
      </c>
      <c r="J122" t="str">
        <f>_xlfn.CONCAT(IF(B122=1,"",", "),C122," ",E122," ",G122,_xlfn.IFS(H122="","",H122="AUTO_INCREMENT"," AUTO_INCREMENT PRIMARY KEY",TRUE,_xlfn.CONCAT(" DEFAULT"," ",H122)), " COMMENT '",I122,"'")</f>
        <v>POLI_SEQ INT NOT NULL AUTO_INCREMENT PRIMARY KEY COMMENT '정책일련번호'</v>
      </c>
    </row>
    <row r="123" spans="2:10" x14ac:dyDescent="0.4">
      <c r="B123" s="4">
        <v>2</v>
      </c>
      <c r="C123" s="1" t="s">
        <v>128</v>
      </c>
      <c r="D123" s="1" t="s">
        <v>129</v>
      </c>
      <c r="E123" s="4" t="s">
        <v>24</v>
      </c>
      <c r="F123" s="4"/>
      <c r="G123" s="1" t="s">
        <v>42</v>
      </c>
      <c r="H123" s="1"/>
      <c r="I123" s="1" t="s">
        <v>130</v>
      </c>
      <c r="J123" t="str">
        <f t="shared" ref="J123:J130" si="9">_xlfn.CONCAT(IF(B123=1,"",", "),C123," ",E123," ",G123,_xlfn.IFS(H123="","",H123="AUTO_INCREMENT"," AUTO_INCREMENT PRIMARY KEY",TRUE,_xlfn.CONCAT(" DEFAULT"," ",H123)), " COMMENT '",I123,"'")</f>
        <v>, POLI_CODE VARCHAR(10) NULL COMMENT '정책분류코드(01:사용자)'</v>
      </c>
    </row>
    <row r="124" spans="2:10" x14ac:dyDescent="0.4">
      <c r="B124" s="4">
        <v>3</v>
      </c>
      <c r="C124" s="1" t="s">
        <v>123</v>
      </c>
      <c r="D124" s="1" t="s">
        <v>124</v>
      </c>
      <c r="E124" s="4" t="s">
        <v>64</v>
      </c>
      <c r="G124" s="1" t="s">
        <v>42</v>
      </c>
      <c r="H124" s="1" t="s">
        <v>59</v>
      </c>
      <c r="I124" s="1" t="s">
        <v>124</v>
      </c>
      <c r="J124" t="str">
        <f t="shared" si="9"/>
        <v>, POLI_NM VARCHAR(150) NULL COMMENT '정책명'</v>
      </c>
    </row>
    <row r="125" spans="2:10" x14ac:dyDescent="0.4">
      <c r="B125" s="4">
        <v>4</v>
      </c>
      <c r="C125" s="1" t="s">
        <v>192</v>
      </c>
      <c r="D125" s="1" t="s">
        <v>180</v>
      </c>
      <c r="E125" s="4" t="s">
        <v>122</v>
      </c>
      <c r="F125" s="4"/>
      <c r="G125" s="1" t="s">
        <v>42</v>
      </c>
      <c r="H125" s="1" t="s">
        <v>59</v>
      </c>
      <c r="I125" s="1" t="s">
        <v>125</v>
      </c>
      <c r="J125" t="str">
        <f t="shared" si="9"/>
        <v>, POLI_VAL VARCHAR(3000) NULL COMMENT '정책값'</v>
      </c>
    </row>
    <row r="126" spans="2:10" x14ac:dyDescent="0.4">
      <c r="B126" s="4">
        <v>5</v>
      </c>
      <c r="C126" s="1" t="s">
        <v>244</v>
      </c>
      <c r="D126" s="1" t="s">
        <v>193</v>
      </c>
      <c r="E126" s="4" t="s">
        <v>189</v>
      </c>
      <c r="F126" s="4"/>
      <c r="G126" s="1" t="s">
        <v>42</v>
      </c>
      <c r="H126" s="1" t="s">
        <v>59</v>
      </c>
      <c r="I126" s="1" t="s">
        <v>193</v>
      </c>
      <c r="J126" t="str">
        <f t="shared" si="9"/>
        <v>, RMRK VARCHAR(3000) NULL COMMENT '정책비고'</v>
      </c>
    </row>
    <row r="127" spans="2:10" x14ac:dyDescent="0.4">
      <c r="B127" s="4">
        <v>9</v>
      </c>
      <c r="C127" s="1" t="s">
        <v>328</v>
      </c>
      <c r="D127" s="1" t="s">
        <v>329</v>
      </c>
      <c r="E127" s="4" t="s">
        <v>299</v>
      </c>
      <c r="F127" s="4"/>
      <c r="G127" s="1" t="s">
        <v>40</v>
      </c>
      <c r="H127" s="1" t="s">
        <v>59</v>
      </c>
      <c r="I127" s="1" t="s">
        <v>329</v>
      </c>
      <c r="J127" t="str">
        <f t="shared" si="9"/>
        <v>, FST_REG_SEQ INT NOT NULL COMMENT '최초등록자일련번호'</v>
      </c>
    </row>
    <row r="128" spans="2:10" x14ac:dyDescent="0.4">
      <c r="B128" s="4">
        <v>10</v>
      </c>
      <c r="C128" s="1" t="s">
        <v>50</v>
      </c>
      <c r="D128" s="1" t="s">
        <v>56</v>
      </c>
      <c r="E128" s="4" t="s">
        <v>49</v>
      </c>
      <c r="F128" s="4"/>
      <c r="G128" s="1" t="s">
        <v>40</v>
      </c>
      <c r="H128" s="1" t="s">
        <v>60</v>
      </c>
      <c r="I128" s="1" t="s">
        <v>56</v>
      </c>
      <c r="J128" t="str">
        <f t="shared" si="9"/>
        <v>, FST_REG_DTTI TIMESTAMP NOT NULL DEFAULT NOW() COMMENT '최초등록일시'</v>
      </c>
    </row>
    <row r="129" spans="2:10" x14ac:dyDescent="0.4">
      <c r="B129" s="4">
        <v>11</v>
      </c>
      <c r="C129" s="1" t="s">
        <v>520</v>
      </c>
      <c r="D129" s="1" t="s">
        <v>330</v>
      </c>
      <c r="E129" s="4" t="s">
        <v>299</v>
      </c>
      <c r="F129" s="4"/>
      <c r="G129" s="1" t="s">
        <v>40</v>
      </c>
      <c r="H129" s="1" t="s">
        <v>59</v>
      </c>
      <c r="I129" s="1" t="s">
        <v>330</v>
      </c>
      <c r="J129" t="str">
        <f t="shared" si="9"/>
        <v>, LST_UPD_SEQ INT NOT NULL COMMENT '최종수정자일련번호'</v>
      </c>
    </row>
    <row r="130" spans="2:10" x14ac:dyDescent="0.4">
      <c r="B130" s="4">
        <v>12</v>
      </c>
      <c r="C130" s="1" t="s">
        <v>515</v>
      </c>
      <c r="D130" s="1" t="s">
        <v>57</v>
      </c>
      <c r="E130" s="4" t="s">
        <v>49</v>
      </c>
      <c r="F130" s="4"/>
      <c r="G130" s="1" t="s">
        <v>40</v>
      </c>
      <c r="H130" s="1" t="s">
        <v>60</v>
      </c>
      <c r="I130" s="1" t="s">
        <v>57</v>
      </c>
      <c r="J130" t="str">
        <f t="shared" si="9"/>
        <v>, LST_UPD_DTTI TIMESTAMP NOT NULL DEFAULT NOW() COMMENT '최종수정일시'</v>
      </c>
    </row>
    <row r="131" spans="2:10" x14ac:dyDescent="0.4">
      <c r="J131" t="str">
        <f>_xlfn.CONCAT(") COMMENT '",E119,"';")</f>
        <v>) COMMENT '정책';</v>
      </c>
    </row>
    <row r="132" spans="2:10" x14ac:dyDescent="0.4">
      <c r="B132" s="38" t="s">
        <v>28</v>
      </c>
      <c r="C132" s="39"/>
      <c r="D132" s="39"/>
      <c r="E132" s="39"/>
      <c r="F132" s="39"/>
      <c r="G132" s="39"/>
      <c r="H132" s="39"/>
      <c r="I132" s="40"/>
    </row>
    <row r="133" spans="2:10" x14ac:dyDescent="0.4">
      <c r="B133" s="6" t="s">
        <v>1</v>
      </c>
      <c r="C133" s="4" t="s">
        <v>874</v>
      </c>
      <c r="D133" s="6" t="s">
        <v>3</v>
      </c>
      <c r="E133" s="4" t="s">
        <v>175</v>
      </c>
      <c r="F133" s="6" t="s">
        <v>29</v>
      </c>
      <c r="G133" s="4" t="s">
        <v>38</v>
      </c>
      <c r="H133" s="6" t="s">
        <v>30</v>
      </c>
      <c r="I133" s="7">
        <v>44944</v>
      </c>
      <c r="J133" t="str">
        <f>_xlfn.CONCAT("DROP TABLE IF EXISTS ",C133,";")</f>
        <v>DROP TABLE IF EXISTS tb_mnu;</v>
      </c>
    </row>
    <row r="134" spans="2:10" x14ac:dyDescent="0.4">
      <c r="B134" s="6" t="s">
        <v>31</v>
      </c>
      <c r="C134" s="41" t="s">
        <v>176</v>
      </c>
      <c r="D134" s="41"/>
      <c r="E134" s="41"/>
      <c r="F134" s="41"/>
      <c r="G134" s="41"/>
      <c r="H134" s="41"/>
      <c r="I134" s="41"/>
      <c r="J134" t="str">
        <f>_xlfn.CONCAT("CREATE TABLE ",C133)</f>
        <v>CREATE TABLE tb_mnu</v>
      </c>
    </row>
    <row r="135" spans="2:10" x14ac:dyDescent="0.4">
      <c r="B135" s="6" t="s">
        <v>32</v>
      </c>
      <c r="C135" s="6" t="s">
        <v>1</v>
      </c>
      <c r="D135" s="6" t="s">
        <v>3</v>
      </c>
      <c r="E135" s="6" t="s">
        <v>33</v>
      </c>
      <c r="F135" s="6" t="s">
        <v>34</v>
      </c>
      <c r="G135" s="6" t="s">
        <v>35</v>
      </c>
      <c r="H135" s="6" t="s">
        <v>22</v>
      </c>
      <c r="I135" s="6" t="s">
        <v>36</v>
      </c>
      <c r="J135" t="str">
        <f>_xlfn.CONCAT("(")</f>
        <v>(</v>
      </c>
    </row>
    <row r="136" spans="2:10" x14ac:dyDescent="0.4">
      <c r="B136" s="4">
        <v>1</v>
      </c>
      <c r="C136" s="1" t="s">
        <v>198</v>
      </c>
      <c r="D136" s="1" t="s">
        <v>199</v>
      </c>
      <c r="E136" s="4" t="s">
        <v>299</v>
      </c>
      <c r="F136" s="4">
        <v>1</v>
      </c>
      <c r="G136" s="1" t="s">
        <v>40</v>
      </c>
      <c r="H136" s="1" t="s">
        <v>326</v>
      </c>
      <c r="I136" s="1" t="s">
        <v>199</v>
      </c>
      <c r="J136" t="str">
        <f>_xlfn.CONCAT(IF(B136=1,"",", "),C136," ",E136," ",G136,_xlfn.IFS(H136="","",H136="AUTO_INCREMENT"," AUTO_INCREMENT PRIMARY KEY",TRUE,_xlfn.CONCAT(" DEFAULT"," ",H136)), " COMMENT '",I136,"'")</f>
        <v>MNU_SEQ INT NOT NULL AUTO_INCREMENT PRIMARY KEY COMMENT '메뉴일련번호'</v>
      </c>
    </row>
    <row r="137" spans="2:10" x14ac:dyDescent="0.4">
      <c r="B137" s="4">
        <v>2</v>
      </c>
      <c r="C137" s="1" t="s">
        <v>248</v>
      </c>
      <c r="D137" s="1" t="s">
        <v>177</v>
      </c>
      <c r="E137" s="4" t="s">
        <v>169</v>
      </c>
      <c r="F137" s="4"/>
      <c r="G137" s="1" t="s">
        <v>40</v>
      </c>
      <c r="H137" s="1" t="s">
        <v>59</v>
      </c>
      <c r="I137" s="1" t="s">
        <v>177</v>
      </c>
      <c r="J137" t="str">
        <f t="shared" ref="J137:J151" si="10">_xlfn.CONCAT(IF(B137=1,"",", "),C137," ",E137," ",G137,_xlfn.IFS(H137="","",H137="AUTO_INCREMENT"," AUTO_INCREMENT PRIMARY KEY",TRUE,_xlfn.CONCAT(" DEFAULT"," ",H137)), " COMMENT '",I137,"'")</f>
        <v>, URL VARCHAR(100) NOT NULL COMMENT '메뉴경로'</v>
      </c>
    </row>
    <row r="138" spans="2:10" x14ac:dyDescent="0.4">
      <c r="B138" s="4">
        <v>3</v>
      </c>
      <c r="C138" s="1" t="s">
        <v>178</v>
      </c>
      <c r="D138" s="1" t="s">
        <v>179</v>
      </c>
      <c r="E138" s="4" t="s">
        <v>64</v>
      </c>
      <c r="F138" s="4"/>
      <c r="G138" s="1" t="s">
        <v>42</v>
      </c>
      <c r="H138" s="1"/>
      <c r="I138" s="1" t="s">
        <v>179</v>
      </c>
      <c r="J138" t="str">
        <f>_xlfn.CONCAT(IF(B138=1,"",", "),C138," ",E138," ",G138,_xlfn.IFS(H138="","",H138="AUTO_INCREMENT"," AUTO_INCREMENT PRIMARY KEY",TRUE,_xlfn.CONCAT(" DEFAULT"," ",H138)), " COMMENT '",I138,"'")</f>
        <v>, MNU_NM VARCHAR(150) NULL COMMENT '메뉴명'</v>
      </c>
    </row>
    <row r="139" spans="2:10" x14ac:dyDescent="0.4">
      <c r="B139" s="4">
        <v>3</v>
      </c>
      <c r="C139" s="1" t="s">
        <v>499</v>
      </c>
      <c r="D139" s="1" t="s">
        <v>500</v>
      </c>
      <c r="E139" s="4" t="s">
        <v>64</v>
      </c>
      <c r="F139" s="4"/>
      <c r="G139" s="1" t="s">
        <v>42</v>
      </c>
      <c r="H139" s="1"/>
      <c r="I139" s="1" t="s">
        <v>500</v>
      </c>
      <c r="J139" t="str">
        <f t="shared" si="10"/>
        <v>, COMPNT_PATH VARCHAR(150) NULL COMMENT '컴퍼넌트경로'</v>
      </c>
    </row>
    <row r="140" spans="2:10" x14ac:dyDescent="0.4">
      <c r="B140" s="4">
        <v>3</v>
      </c>
      <c r="C140" s="1" t="s">
        <v>492</v>
      </c>
      <c r="D140" s="1" t="s">
        <v>491</v>
      </c>
      <c r="E140" s="4" t="s">
        <v>64</v>
      </c>
      <c r="F140" s="4"/>
      <c r="G140" s="1" t="s">
        <v>42</v>
      </c>
      <c r="H140" s="1"/>
      <c r="I140" s="1" t="s">
        <v>491</v>
      </c>
      <c r="J140" t="str">
        <f>_xlfn.CONCAT(IF(B140=1,"",", "),C140," ",E140," ",G140,_xlfn.IFS(H140="","",H140="AUTO_INCREMENT"," AUTO_INCREMENT PRIMARY KEY",TRUE,_xlfn.CONCAT(" DEFAULT"," ",H140)), " COMMENT '",I140,"'")</f>
        <v>, COMPNT_NM VARCHAR(150) NULL COMMENT '컴퍼넌트명'</v>
      </c>
    </row>
    <row r="141" spans="2:10" x14ac:dyDescent="0.4">
      <c r="B141" s="4">
        <v>5</v>
      </c>
      <c r="C141" s="1" t="s">
        <v>496</v>
      </c>
      <c r="D141" s="1" t="s">
        <v>497</v>
      </c>
      <c r="E141" s="4" t="s">
        <v>299</v>
      </c>
      <c r="F141" s="4"/>
      <c r="G141" s="1" t="s">
        <v>42</v>
      </c>
      <c r="H141" s="1" t="s">
        <v>59</v>
      </c>
      <c r="I141" s="1" t="s">
        <v>497</v>
      </c>
      <c r="J141" t="str">
        <f t="shared" si="10"/>
        <v>, UPPER_MNU_SEQ INT NULL COMMENT '상위메뉴일련번호'</v>
      </c>
    </row>
    <row r="142" spans="2:10" x14ac:dyDescent="0.4">
      <c r="B142" s="4">
        <v>6</v>
      </c>
      <c r="C142" s="1" t="s">
        <v>498</v>
      </c>
      <c r="D142" s="1" t="s">
        <v>181</v>
      </c>
      <c r="E142" s="4" t="s">
        <v>23</v>
      </c>
      <c r="F142" s="4"/>
      <c r="G142" s="1" t="s">
        <v>42</v>
      </c>
      <c r="H142" s="1" t="s">
        <v>182</v>
      </c>
      <c r="I142" s="1" t="s">
        <v>181</v>
      </c>
      <c r="J142" t="str">
        <f t="shared" si="10"/>
        <v>, OPEN_YN CHAR(1) NULL DEFAULT "Y" COMMENT '메뉴노출여부'</v>
      </c>
    </row>
    <row r="143" spans="2:10" x14ac:dyDescent="0.4">
      <c r="B143" s="4">
        <v>7</v>
      </c>
      <c r="C143" s="1" t="s">
        <v>250</v>
      </c>
      <c r="D143" s="1" t="s">
        <v>289</v>
      </c>
      <c r="E143" s="4" t="s">
        <v>23</v>
      </c>
      <c r="F143" s="4"/>
      <c r="G143" s="1" t="s">
        <v>42</v>
      </c>
      <c r="H143" s="1" t="s">
        <v>182</v>
      </c>
      <c r="I143" s="1" t="s">
        <v>289</v>
      </c>
      <c r="J143" t="str">
        <f t="shared" si="10"/>
        <v>, AUTH_YN CHAR(1) NULL DEFAULT "Y" COMMENT '권한검사여부'</v>
      </c>
    </row>
    <row r="144" spans="2:10" x14ac:dyDescent="0.4">
      <c r="B144" s="4">
        <v>8</v>
      </c>
      <c r="C144" s="1" t="s">
        <v>262</v>
      </c>
      <c r="D144" s="1" t="s">
        <v>183</v>
      </c>
      <c r="E144" s="4" t="s">
        <v>191</v>
      </c>
      <c r="F144" s="4"/>
      <c r="G144" s="1" t="s">
        <v>42</v>
      </c>
      <c r="H144" s="1" t="s">
        <v>59</v>
      </c>
      <c r="I144" s="1" t="s">
        <v>183</v>
      </c>
      <c r="J144" t="str">
        <f t="shared" si="10"/>
        <v>, MNU_LV INT(1) NULL COMMENT '메뉴레벨'</v>
      </c>
    </row>
    <row r="145" spans="2:10" x14ac:dyDescent="0.4">
      <c r="B145" s="4">
        <v>10</v>
      </c>
      <c r="C145" s="1" t="s">
        <v>264</v>
      </c>
      <c r="D145" s="1" t="s">
        <v>185</v>
      </c>
      <c r="E145" s="4" t="s">
        <v>115</v>
      </c>
      <c r="F145" s="4"/>
      <c r="G145" s="1" t="s">
        <v>42</v>
      </c>
      <c r="H145" s="1" t="s">
        <v>59</v>
      </c>
      <c r="I145" s="1" t="s">
        <v>185</v>
      </c>
      <c r="J145" t="str">
        <f>_xlfn.CONCAT(IF(B145=1,"",", "),C145," ",E145," ",G145,_xlfn.IFS(H145="","",H145="AUTO_INCREMENT"," AUTO_INCREMENT PRIMARY KEY",TRUE,_xlfn.CONCAT(" DEFAULT"," ",H145)), " COMMENT '",I145,"'")</f>
        <v>, MNU_ORDER INT(2) NULL COMMENT '메뉴표시순서'</v>
      </c>
    </row>
    <row r="146" spans="2:10" x14ac:dyDescent="0.4">
      <c r="B146" s="4">
        <v>9</v>
      </c>
      <c r="C146" s="1" t="s">
        <v>493</v>
      </c>
      <c r="D146" s="1" t="s">
        <v>184</v>
      </c>
      <c r="E146" s="4" t="s">
        <v>47</v>
      </c>
      <c r="F146" s="4"/>
      <c r="G146" s="1" t="s">
        <v>42</v>
      </c>
      <c r="H146" s="1" t="s">
        <v>59</v>
      </c>
      <c r="I146" s="1" t="s">
        <v>184</v>
      </c>
      <c r="J146" t="str">
        <f t="shared" si="10"/>
        <v>, MNU_INFO VARCHAR(300) NULL COMMENT '메뉴정보'</v>
      </c>
    </row>
    <row r="147" spans="2:10" x14ac:dyDescent="0.4">
      <c r="B147" s="4">
        <v>11</v>
      </c>
      <c r="C147" s="1" t="s">
        <v>494</v>
      </c>
      <c r="D147" s="1" t="s">
        <v>190</v>
      </c>
      <c r="E147" s="4" t="s">
        <v>189</v>
      </c>
      <c r="F147" s="4"/>
      <c r="G147" s="1" t="s">
        <v>42</v>
      </c>
      <c r="H147" s="1" t="s">
        <v>59</v>
      </c>
      <c r="I147" s="1" t="s">
        <v>190</v>
      </c>
      <c r="J147" t="str">
        <f t="shared" si="10"/>
        <v>, MNU_RMRK VARCHAR(3000) NULL COMMENT '메뉴비고'</v>
      </c>
    </row>
    <row r="148" spans="2:10" x14ac:dyDescent="0.4">
      <c r="B148" s="4">
        <v>12</v>
      </c>
      <c r="C148" s="1" t="s">
        <v>327</v>
      </c>
      <c r="D148" s="1" t="s">
        <v>329</v>
      </c>
      <c r="E148" s="4" t="s">
        <v>299</v>
      </c>
      <c r="F148" s="4"/>
      <c r="G148" s="1" t="s">
        <v>40</v>
      </c>
      <c r="H148" s="1" t="s">
        <v>59</v>
      </c>
      <c r="I148" s="1" t="s">
        <v>329</v>
      </c>
      <c r="J148" t="str">
        <f t="shared" si="10"/>
        <v>, FST_REG_SEQ INT NOT NULL COMMENT '최초등록자일련번호'</v>
      </c>
    </row>
    <row r="149" spans="2:10" x14ac:dyDescent="0.4">
      <c r="B149" s="4">
        <v>13</v>
      </c>
      <c r="C149" s="1" t="s">
        <v>50</v>
      </c>
      <c r="D149" s="1" t="s">
        <v>56</v>
      </c>
      <c r="E149" s="4" t="s">
        <v>49</v>
      </c>
      <c r="F149" s="4"/>
      <c r="G149" s="1" t="s">
        <v>40</v>
      </c>
      <c r="H149" s="1" t="s">
        <v>60</v>
      </c>
      <c r="I149" s="1" t="s">
        <v>56</v>
      </c>
      <c r="J149" t="str">
        <f t="shared" si="10"/>
        <v>, FST_REG_DTTI TIMESTAMP NOT NULL DEFAULT NOW() COMMENT '최초등록일시'</v>
      </c>
    </row>
    <row r="150" spans="2:10" x14ac:dyDescent="0.4">
      <c r="B150" s="4">
        <v>14</v>
      </c>
      <c r="C150" s="1" t="s">
        <v>520</v>
      </c>
      <c r="D150" s="1" t="s">
        <v>330</v>
      </c>
      <c r="E150" s="4" t="s">
        <v>299</v>
      </c>
      <c r="F150" s="4"/>
      <c r="G150" s="1" t="s">
        <v>40</v>
      </c>
      <c r="H150" s="1" t="s">
        <v>59</v>
      </c>
      <c r="I150" s="1" t="s">
        <v>330</v>
      </c>
      <c r="J150" t="str">
        <f t="shared" si="10"/>
        <v>, LST_UPD_SEQ INT NOT NULL COMMENT '최종수정자일련번호'</v>
      </c>
    </row>
    <row r="151" spans="2:10" x14ac:dyDescent="0.4">
      <c r="B151" s="4">
        <v>15</v>
      </c>
      <c r="C151" s="1" t="s">
        <v>515</v>
      </c>
      <c r="D151" s="1" t="s">
        <v>57</v>
      </c>
      <c r="E151" s="4" t="s">
        <v>49</v>
      </c>
      <c r="F151" s="4"/>
      <c r="G151" s="1" t="s">
        <v>40</v>
      </c>
      <c r="H151" s="1" t="s">
        <v>60</v>
      </c>
      <c r="I151" s="1" t="s">
        <v>57</v>
      </c>
      <c r="J151" t="str">
        <f t="shared" si="10"/>
        <v>, LST_UPD_DTTI TIMESTAMP NOT NULL DEFAULT NOW() COMMENT '최종수정일시'</v>
      </c>
    </row>
    <row r="152" spans="2:10" x14ac:dyDescent="0.4">
      <c r="J152" t="str">
        <f>_xlfn.CONCAT(") COMMENT '",E133,"';")</f>
        <v>) COMMENT '메뉴';</v>
      </c>
    </row>
    <row r="153" spans="2:10" x14ac:dyDescent="0.4">
      <c r="B153" s="38" t="s">
        <v>28</v>
      </c>
      <c r="C153" s="39"/>
      <c r="D153" s="39"/>
      <c r="E153" s="39"/>
      <c r="F153" s="39"/>
      <c r="G153" s="39"/>
      <c r="H153" s="39"/>
      <c r="I153" s="40"/>
    </row>
    <row r="154" spans="2:10" x14ac:dyDescent="0.4">
      <c r="B154" s="6" t="s">
        <v>1</v>
      </c>
      <c r="C154" s="4" t="s">
        <v>875</v>
      </c>
      <c r="D154" s="6" t="s">
        <v>3</v>
      </c>
      <c r="E154" s="4" t="s">
        <v>220</v>
      </c>
      <c r="F154" s="6" t="s">
        <v>29</v>
      </c>
      <c r="G154" s="4" t="s">
        <v>38</v>
      </c>
      <c r="H154" s="6" t="s">
        <v>30</v>
      </c>
      <c r="I154" s="7">
        <v>44945</v>
      </c>
      <c r="J154" t="str">
        <f>_xlfn.CONCAT("DROP TABLE IF EXISTS ",C154,";")</f>
        <v>DROP TABLE IF EXISTS tb_role;</v>
      </c>
    </row>
    <row r="155" spans="2:10" x14ac:dyDescent="0.4">
      <c r="B155" s="6" t="s">
        <v>31</v>
      </c>
      <c r="C155" s="41" t="s">
        <v>224</v>
      </c>
      <c r="D155" s="41"/>
      <c r="E155" s="41"/>
      <c r="F155" s="41"/>
      <c r="G155" s="41"/>
      <c r="H155" s="41"/>
      <c r="I155" s="41"/>
      <c r="J155" t="str">
        <f>_xlfn.CONCAT("CREATE TABLE ",C154)</f>
        <v>CREATE TABLE tb_role</v>
      </c>
    </row>
    <row r="156" spans="2:10" x14ac:dyDescent="0.4">
      <c r="B156" s="6" t="s">
        <v>32</v>
      </c>
      <c r="C156" s="6" t="s">
        <v>1</v>
      </c>
      <c r="D156" s="6" t="s">
        <v>3</v>
      </c>
      <c r="E156" s="6" t="s">
        <v>33</v>
      </c>
      <c r="F156" s="6" t="s">
        <v>34</v>
      </c>
      <c r="G156" s="6" t="s">
        <v>35</v>
      </c>
      <c r="H156" s="6" t="s">
        <v>22</v>
      </c>
      <c r="I156" s="6" t="s">
        <v>36</v>
      </c>
      <c r="J156" t="str">
        <f>_xlfn.CONCAT("(")</f>
        <v>(</v>
      </c>
    </row>
    <row r="157" spans="2:10" x14ac:dyDescent="0.4">
      <c r="B157" s="4">
        <v>1</v>
      </c>
      <c r="C157" s="1" t="s">
        <v>216</v>
      </c>
      <c r="D157" s="1" t="s">
        <v>218</v>
      </c>
      <c r="E157" s="4" t="s">
        <v>299</v>
      </c>
      <c r="F157" s="4">
        <v>1</v>
      </c>
      <c r="G157" s="1" t="s">
        <v>40</v>
      </c>
      <c r="H157" s="1" t="s">
        <v>326</v>
      </c>
      <c r="I157" s="1" t="s">
        <v>218</v>
      </c>
      <c r="J157" t="str">
        <f>_xlfn.CONCAT(IF(B157=1,"",", "),C157," ",E157," ",G157,_xlfn.IFS(H157="","",H157="AUTO_INCREMENT"," AUTO_INCREMENT PRIMARY KEY",TRUE,_xlfn.CONCAT(" DEFAULT"," ",H157)), " COMMENT '",I157,"'")</f>
        <v>ROLE_SEQ INT NOT NULL AUTO_INCREMENT PRIMARY KEY COMMENT '권한그룹일련번호'</v>
      </c>
    </row>
    <row r="158" spans="2:10" x14ac:dyDescent="0.4">
      <c r="B158" s="4">
        <v>2</v>
      </c>
      <c r="C158" s="1" t="s">
        <v>217</v>
      </c>
      <c r="D158" s="1" t="s">
        <v>219</v>
      </c>
      <c r="E158" s="4" t="s">
        <v>64</v>
      </c>
      <c r="F158" s="4"/>
      <c r="G158" s="1" t="s">
        <v>42</v>
      </c>
      <c r="H158" s="1" t="s">
        <v>59</v>
      </c>
      <c r="I158" s="1" t="s">
        <v>219</v>
      </c>
      <c r="J158" t="str">
        <f t="shared" ref="J158:J164" si="11">_xlfn.CONCAT(IF(B158=1,"",", "),C158," ",E158," ",G158,_xlfn.IFS(H158="","",H158="AUTO_INCREMENT"," AUTO_INCREMENT PRIMARY KEY",TRUE,_xlfn.CONCAT(" DEFAULT"," ",H158)), " COMMENT '",I158,"'")</f>
        <v>, ROLE_NM VARCHAR(150) NULL COMMENT '권한그룹명'</v>
      </c>
    </row>
    <row r="159" spans="2:10" x14ac:dyDescent="0.4">
      <c r="B159" s="4">
        <v>3</v>
      </c>
      <c r="C159" s="1" t="s">
        <v>263</v>
      </c>
      <c r="D159" s="1" t="s">
        <v>221</v>
      </c>
      <c r="E159" s="4" t="s">
        <v>115</v>
      </c>
      <c r="F159" s="4"/>
      <c r="G159" s="1" t="s">
        <v>42</v>
      </c>
      <c r="H159" s="1"/>
      <c r="I159" s="1" t="s">
        <v>221</v>
      </c>
      <c r="J159" t="str">
        <f t="shared" si="11"/>
        <v>, ROLE_ORDER INT(2) NULL COMMENT '권한그룹표시순서'</v>
      </c>
    </row>
    <row r="160" spans="2:10" x14ac:dyDescent="0.4">
      <c r="B160" s="4">
        <v>4</v>
      </c>
      <c r="C160" s="1" t="s">
        <v>244</v>
      </c>
      <c r="D160" s="1" t="s">
        <v>222</v>
      </c>
      <c r="E160" s="4" t="s">
        <v>189</v>
      </c>
      <c r="G160" s="1" t="s">
        <v>42</v>
      </c>
      <c r="H160" s="1" t="s">
        <v>59</v>
      </c>
      <c r="I160" s="1" t="s">
        <v>222</v>
      </c>
      <c r="J160" t="str">
        <f t="shared" si="11"/>
        <v>, RMRK VARCHAR(3000) NULL COMMENT '권한그룹비고'</v>
      </c>
    </row>
    <row r="161" spans="2:10" x14ac:dyDescent="0.4">
      <c r="B161" s="4">
        <v>5</v>
      </c>
      <c r="C161" s="1" t="s">
        <v>327</v>
      </c>
      <c r="D161" s="1" t="s">
        <v>329</v>
      </c>
      <c r="E161" s="4" t="s">
        <v>299</v>
      </c>
      <c r="F161" s="4"/>
      <c r="G161" s="1" t="s">
        <v>40</v>
      </c>
      <c r="H161" s="1" t="s">
        <v>59</v>
      </c>
      <c r="I161" s="1" t="s">
        <v>329</v>
      </c>
      <c r="J161" t="str">
        <f t="shared" si="11"/>
        <v>, FST_REG_SEQ INT NOT NULL COMMENT '최초등록자일련번호'</v>
      </c>
    </row>
    <row r="162" spans="2:10" x14ac:dyDescent="0.4">
      <c r="B162" s="4">
        <v>6</v>
      </c>
      <c r="C162" s="1" t="s">
        <v>50</v>
      </c>
      <c r="D162" s="1" t="s">
        <v>56</v>
      </c>
      <c r="E162" s="4" t="s">
        <v>49</v>
      </c>
      <c r="F162" s="4"/>
      <c r="G162" s="1" t="s">
        <v>40</v>
      </c>
      <c r="H162" s="1" t="s">
        <v>60</v>
      </c>
      <c r="I162" s="1" t="s">
        <v>56</v>
      </c>
      <c r="J162" t="str">
        <f t="shared" si="11"/>
        <v>, FST_REG_DTTI TIMESTAMP NOT NULL DEFAULT NOW() COMMENT '최초등록일시'</v>
      </c>
    </row>
    <row r="163" spans="2:10" x14ac:dyDescent="0.4">
      <c r="B163" s="4">
        <v>7</v>
      </c>
      <c r="C163" s="1" t="s">
        <v>520</v>
      </c>
      <c r="D163" s="1" t="s">
        <v>330</v>
      </c>
      <c r="E163" s="4" t="s">
        <v>299</v>
      </c>
      <c r="F163" s="4"/>
      <c r="G163" s="1" t="s">
        <v>40</v>
      </c>
      <c r="H163" s="1" t="s">
        <v>59</v>
      </c>
      <c r="I163" s="1" t="s">
        <v>330</v>
      </c>
      <c r="J163" t="str">
        <f t="shared" si="11"/>
        <v>, LST_UPD_SEQ INT NOT NULL COMMENT '최종수정자일련번호'</v>
      </c>
    </row>
    <row r="164" spans="2:10" x14ac:dyDescent="0.4">
      <c r="B164" s="4">
        <v>8</v>
      </c>
      <c r="C164" s="1" t="s">
        <v>515</v>
      </c>
      <c r="D164" s="1" t="s">
        <v>57</v>
      </c>
      <c r="E164" s="4" t="s">
        <v>49</v>
      </c>
      <c r="F164" s="4"/>
      <c r="G164" s="1" t="s">
        <v>40</v>
      </c>
      <c r="H164" s="1" t="s">
        <v>60</v>
      </c>
      <c r="I164" s="1" t="s">
        <v>57</v>
      </c>
      <c r="J164" t="str">
        <f t="shared" si="11"/>
        <v>, LST_UPD_DTTI TIMESTAMP NOT NULL DEFAULT NOW() COMMENT '최종수정일시'</v>
      </c>
    </row>
    <row r="165" spans="2:10" x14ac:dyDescent="0.4">
      <c r="J165" t="str">
        <f>_xlfn.CONCAT(") COMMENT '",E154,"';")</f>
        <v>) COMMENT '권한그룹';</v>
      </c>
    </row>
    <row r="166" spans="2:10" x14ac:dyDescent="0.4">
      <c r="B166" s="38" t="s">
        <v>28</v>
      </c>
      <c r="C166" s="39"/>
      <c r="D166" s="39"/>
      <c r="E166" s="39"/>
      <c r="F166" s="39"/>
      <c r="G166" s="39"/>
      <c r="H166" s="39"/>
      <c r="I166" s="40"/>
    </row>
    <row r="167" spans="2:10" x14ac:dyDescent="0.4">
      <c r="B167" s="6" t="s">
        <v>1</v>
      </c>
      <c r="C167" s="4" t="s">
        <v>876</v>
      </c>
      <c r="D167" s="6" t="s">
        <v>3</v>
      </c>
      <c r="E167" s="4" t="s">
        <v>223</v>
      </c>
      <c r="F167" s="6" t="s">
        <v>29</v>
      </c>
      <c r="G167" s="4" t="s">
        <v>38</v>
      </c>
      <c r="H167" s="6" t="s">
        <v>30</v>
      </c>
      <c r="I167" s="7">
        <v>44945</v>
      </c>
      <c r="J167" t="str">
        <f>_xlfn.CONCAT("DROP TABLE IF EXISTS ",C167,";")</f>
        <v>DROP TABLE IF EXISTS tb_user_role_map;</v>
      </c>
    </row>
    <row r="168" spans="2:10" x14ac:dyDescent="0.4">
      <c r="B168" s="6" t="s">
        <v>31</v>
      </c>
      <c r="C168" s="41" t="s">
        <v>225</v>
      </c>
      <c r="D168" s="41"/>
      <c r="E168" s="41"/>
      <c r="F168" s="41"/>
      <c r="G168" s="41"/>
      <c r="H168" s="41"/>
      <c r="I168" s="41"/>
      <c r="J168" t="str">
        <f>_xlfn.CONCAT("CREATE TABLE ",C167)</f>
        <v>CREATE TABLE tb_user_role_map</v>
      </c>
    </row>
    <row r="169" spans="2:10" x14ac:dyDescent="0.4">
      <c r="B169" s="6" t="s">
        <v>32</v>
      </c>
      <c r="C169" s="6" t="s">
        <v>1</v>
      </c>
      <c r="D169" s="6" t="s">
        <v>3</v>
      </c>
      <c r="E169" s="6" t="s">
        <v>33</v>
      </c>
      <c r="F169" s="6" t="s">
        <v>34</v>
      </c>
      <c r="G169" s="6" t="s">
        <v>35</v>
      </c>
      <c r="H169" s="6" t="s">
        <v>22</v>
      </c>
      <c r="I169" s="6" t="s">
        <v>36</v>
      </c>
      <c r="J169" t="str">
        <f>_xlfn.CONCAT("(")</f>
        <v>(</v>
      </c>
    </row>
    <row r="170" spans="2:10" x14ac:dyDescent="0.4">
      <c r="B170" s="4">
        <v>1</v>
      </c>
      <c r="C170" s="1" t="s">
        <v>324</v>
      </c>
      <c r="D170" s="1" t="s">
        <v>78</v>
      </c>
      <c r="E170" s="4" t="s">
        <v>299</v>
      </c>
      <c r="F170" s="4">
        <v>1</v>
      </c>
      <c r="G170" s="1" t="s">
        <v>41</v>
      </c>
      <c r="H170" s="1"/>
      <c r="I170" s="1" t="s">
        <v>78</v>
      </c>
      <c r="J170" t="str">
        <f t="shared" ref="J170:J175" si="12">_xlfn.CONCAT(IF(B170=1,"",", "),C170," ",E170," ",G170,_xlfn.IFS(H170="","",H170="AUTO_INCREMENT"," AUTO_INCREMENT PRIMARY KEY",TRUE,_xlfn.CONCAT(" DEFAULT"," ",H170)), " COMMENT '",I170,"'")</f>
        <v>USER_SEQ INT NOT NULL COMMENT '사용자아이디'</v>
      </c>
    </row>
    <row r="171" spans="2:10" x14ac:dyDescent="0.4">
      <c r="B171" s="4">
        <v>2</v>
      </c>
      <c r="C171" s="1" t="s">
        <v>216</v>
      </c>
      <c r="D171" s="1" t="s">
        <v>218</v>
      </c>
      <c r="E171" s="4" t="s">
        <v>68</v>
      </c>
      <c r="F171" s="4">
        <v>2</v>
      </c>
      <c r="G171" s="1" t="s">
        <v>40</v>
      </c>
      <c r="H171" s="1" t="s">
        <v>59</v>
      </c>
      <c r="I171" s="1" t="s">
        <v>218</v>
      </c>
      <c r="J171" t="str">
        <f t="shared" si="12"/>
        <v>, ROLE_SEQ VARCHAR(10) NOT NULL COMMENT '권한그룹일련번호'</v>
      </c>
    </row>
    <row r="172" spans="2:10" x14ac:dyDescent="0.4">
      <c r="B172" s="4">
        <v>3</v>
      </c>
      <c r="C172" s="1" t="s">
        <v>327</v>
      </c>
      <c r="D172" s="1" t="s">
        <v>329</v>
      </c>
      <c r="E172" s="4" t="s">
        <v>299</v>
      </c>
      <c r="F172" s="4"/>
      <c r="G172" s="1" t="s">
        <v>40</v>
      </c>
      <c r="H172" s="1" t="s">
        <v>59</v>
      </c>
      <c r="I172" s="1" t="s">
        <v>329</v>
      </c>
      <c r="J172" t="str">
        <f t="shared" si="12"/>
        <v>, FST_REG_SEQ INT NOT NULL COMMENT '최초등록자일련번호'</v>
      </c>
    </row>
    <row r="173" spans="2:10" x14ac:dyDescent="0.4">
      <c r="B173" s="4">
        <v>4</v>
      </c>
      <c r="C173" s="1" t="s">
        <v>50</v>
      </c>
      <c r="D173" s="1" t="s">
        <v>56</v>
      </c>
      <c r="E173" s="4" t="s">
        <v>49</v>
      </c>
      <c r="F173" s="4"/>
      <c r="G173" s="1" t="s">
        <v>40</v>
      </c>
      <c r="H173" s="1" t="s">
        <v>60</v>
      </c>
      <c r="I173" s="1" t="s">
        <v>56</v>
      </c>
      <c r="J173" t="str">
        <f t="shared" si="12"/>
        <v>, FST_REG_DTTI TIMESTAMP NOT NULL DEFAULT NOW() COMMENT '최초등록일시'</v>
      </c>
    </row>
    <row r="174" spans="2:10" x14ac:dyDescent="0.4">
      <c r="B174" s="4">
        <v>5</v>
      </c>
      <c r="C174" s="1" t="s">
        <v>520</v>
      </c>
      <c r="D174" s="1" t="s">
        <v>330</v>
      </c>
      <c r="E174" s="4" t="s">
        <v>299</v>
      </c>
      <c r="F174" s="4"/>
      <c r="G174" s="1" t="s">
        <v>40</v>
      </c>
      <c r="H174" s="1" t="s">
        <v>59</v>
      </c>
      <c r="I174" s="1" t="s">
        <v>330</v>
      </c>
      <c r="J174" t="str">
        <f t="shared" si="12"/>
        <v>, LST_UPD_SEQ INT NOT NULL COMMENT '최종수정자일련번호'</v>
      </c>
    </row>
    <row r="175" spans="2:10" x14ac:dyDescent="0.4">
      <c r="B175" s="4">
        <v>6</v>
      </c>
      <c r="C175" s="1" t="s">
        <v>515</v>
      </c>
      <c r="D175" s="1" t="s">
        <v>57</v>
      </c>
      <c r="E175" s="4" t="s">
        <v>49</v>
      </c>
      <c r="F175" s="4"/>
      <c r="G175" s="1" t="s">
        <v>40</v>
      </c>
      <c r="H175" s="1" t="s">
        <v>60</v>
      </c>
      <c r="I175" s="1" t="s">
        <v>57</v>
      </c>
      <c r="J175" t="str">
        <f t="shared" si="12"/>
        <v>, LST_UPD_DTTI TIMESTAMP NOT NULL DEFAULT NOW() COMMENT '최종수정일시'</v>
      </c>
    </row>
    <row r="176" spans="2:10" x14ac:dyDescent="0.4">
      <c r="J176" t="str">
        <f>_xlfn.CONCAT(") COMMENT '",E167,"';")</f>
        <v>) COMMENT '사용자_권한그룹_매핑';</v>
      </c>
    </row>
    <row r="177" spans="2:10" x14ac:dyDescent="0.4">
      <c r="B177" s="6" t="s">
        <v>32</v>
      </c>
      <c r="C177" s="42" t="s">
        <v>44</v>
      </c>
      <c r="D177" s="42"/>
      <c r="E177" s="42"/>
      <c r="F177" s="42" t="s">
        <v>45</v>
      </c>
      <c r="G177" s="42"/>
      <c r="H177" s="42"/>
      <c r="I177" s="42"/>
      <c r="J177" t="str">
        <f>_xlfn.CONCAT("ALTER TABLE ",C167," ADD CONSTRAINT ",C179," PRIMARY KEY (")</f>
        <v>ALTER TABLE tb_user_role_map ADD CONSTRAINT PK_tb_user_role_map PRIMARY KEY (</v>
      </c>
    </row>
    <row r="178" spans="2:10" x14ac:dyDescent="0.4">
      <c r="B178" s="4">
        <v>1</v>
      </c>
      <c r="C178" s="43" t="str">
        <f>_xlfn.CONCAT("PK_",C167)</f>
        <v>PK_tb_user_role_map</v>
      </c>
      <c r="D178" s="43"/>
      <c r="E178" s="43"/>
      <c r="F178" s="43" t="str">
        <f>C170</f>
        <v>USER_SEQ</v>
      </c>
      <c r="G178" s="43"/>
      <c r="H178" s="43"/>
      <c r="I178" s="43"/>
      <c r="J178" t="str">
        <f>_xlfn.CONCAT(IF(B178=1,"",", "),F178)</f>
        <v>USER_SEQ</v>
      </c>
    </row>
    <row r="179" spans="2:10" x14ac:dyDescent="0.4">
      <c r="B179" s="4">
        <v>2</v>
      </c>
      <c r="C179" s="43" t="str">
        <f>_xlfn.CONCAT("PK_",C167)</f>
        <v>PK_tb_user_role_map</v>
      </c>
      <c r="D179" s="43"/>
      <c r="E179" s="43"/>
      <c r="F179" s="43" t="str">
        <f>C171</f>
        <v>ROLE_SEQ</v>
      </c>
      <c r="G179" s="43"/>
      <c r="H179" s="43"/>
      <c r="I179" s="43"/>
      <c r="J179" t="str">
        <f>_xlfn.CONCAT(IF(B179=1,"",", "),F179)</f>
        <v>, ROLE_SEQ</v>
      </c>
    </row>
    <row r="180" spans="2:10" x14ac:dyDescent="0.4">
      <c r="J180" t="str">
        <f>_xlfn.CONCAT(");")</f>
        <v>);</v>
      </c>
    </row>
    <row r="181" spans="2:10" x14ac:dyDescent="0.4">
      <c r="B181" s="38" t="s">
        <v>28</v>
      </c>
      <c r="C181" s="39"/>
      <c r="D181" s="39"/>
      <c r="E181" s="39"/>
      <c r="F181" s="39"/>
      <c r="G181" s="39"/>
      <c r="H181" s="39"/>
      <c r="I181" s="40"/>
    </row>
    <row r="182" spans="2:10" x14ac:dyDescent="0.4">
      <c r="B182" s="6" t="s">
        <v>1</v>
      </c>
      <c r="C182" s="4" t="s">
        <v>877</v>
      </c>
      <c r="D182" s="6" t="s">
        <v>3</v>
      </c>
      <c r="E182" s="4" t="s">
        <v>226</v>
      </c>
      <c r="F182" s="6" t="s">
        <v>29</v>
      </c>
      <c r="G182" s="4" t="s">
        <v>38</v>
      </c>
      <c r="H182" s="6" t="s">
        <v>30</v>
      </c>
      <c r="I182" s="7">
        <v>44945</v>
      </c>
      <c r="J182" t="str">
        <f>_xlfn.CONCAT("DROP TABLE IF EXISTS ",C182,";")</f>
        <v>DROP TABLE IF EXISTS tb_auth;</v>
      </c>
    </row>
    <row r="183" spans="2:10" x14ac:dyDescent="0.4">
      <c r="B183" s="6" t="s">
        <v>31</v>
      </c>
      <c r="C183" s="41" t="s">
        <v>227</v>
      </c>
      <c r="D183" s="41"/>
      <c r="E183" s="41"/>
      <c r="F183" s="41"/>
      <c r="G183" s="41"/>
      <c r="H183" s="41"/>
      <c r="I183" s="41"/>
      <c r="J183" t="str">
        <f>_xlfn.CONCAT("CREATE TABLE ",C182)</f>
        <v>CREATE TABLE tb_auth</v>
      </c>
    </row>
    <row r="184" spans="2:10" x14ac:dyDescent="0.4">
      <c r="B184" s="6" t="s">
        <v>32</v>
      </c>
      <c r="C184" s="6" t="s">
        <v>1</v>
      </c>
      <c r="D184" s="6" t="s">
        <v>3</v>
      </c>
      <c r="E184" s="6" t="s">
        <v>33</v>
      </c>
      <c r="F184" s="6" t="s">
        <v>34</v>
      </c>
      <c r="G184" s="6" t="s">
        <v>35</v>
      </c>
      <c r="H184" s="6" t="s">
        <v>22</v>
      </c>
      <c r="I184" s="6" t="s">
        <v>36</v>
      </c>
      <c r="J184" t="str">
        <f>_xlfn.CONCAT("(")</f>
        <v>(</v>
      </c>
    </row>
    <row r="185" spans="2:10" x14ac:dyDescent="0.4">
      <c r="B185" s="4">
        <v>1</v>
      </c>
      <c r="C185" s="1" t="s">
        <v>198</v>
      </c>
      <c r="D185" s="1" t="s">
        <v>199</v>
      </c>
      <c r="E185" s="4" t="s">
        <v>299</v>
      </c>
      <c r="F185" s="4">
        <v>1</v>
      </c>
      <c r="G185" s="1" t="s">
        <v>40</v>
      </c>
      <c r="H185" s="1"/>
      <c r="I185" s="1" t="s">
        <v>199</v>
      </c>
      <c r="J185" t="str">
        <f>_xlfn.CONCAT(IF(B185=1,"",", "),C185," ",E185," ",G185,_xlfn.IFS(H185="","",H185="AUTO_INCREMENT"," AUTO_INCREMENT PRIMARY KEY",TRUE,_xlfn.CONCAT(" DEFAULT"," ",H185)), " COMMENT '",I185,"'")</f>
        <v>MNU_SEQ INT NOT NULL COMMENT '메뉴일련번호'</v>
      </c>
    </row>
    <row r="186" spans="2:10" x14ac:dyDescent="0.4">
      <c r="B186" s="4">
        <v>2</v>
      </c>
      <c r="C186" s="1" t="s">
        <v>216</v>
      </c>
      <c r="D186" s="1" t="s">
        <v>218</v>
      </c>
      <c r="E186" s="4" t="s">
        <v>68</v>
      </c>
      <c r="F186" s="4">
        <v>2</v>
      </c>
      <c r="G186" s="1" t="s">
        <v>40</v>
      </c>
      <c r="H186" s="1" t="s">
        <v>59</v>
      </c>
      <c r="I186" s="1" t="s">
        <v>218</v>
      </c>
      <c r="J186" t="str">
        <f t="shared" ref="J186:J192" si="13">_xlfn.CONCAT(IF(B186=1,"",", "),C186," ",E186," ",G186,_xlfn.IFS(H186="","",H186="AUTO_INCREMENT"," AUTO_INCREMENT PRIMARY KEY",TRUE,_xlfn.CONCAT(" DEFAULT"," ",H186)), " COMMENT '",I186,"'")</f>
        <v>, ROLE_SEQ VARCHAR(10) NOT NULL COMMENT '권한그룹일련번호'</v>
      </c>
    </row>
    <row r="187" spans="2:10" x14ac:dyDescent="0.4">
      <c r="B187" s="4">
        <v>3</v>
      </c>
      <c r="C187" s="1" t="s">
        <v>234</v>
      </c>
      <c r="D187" s="1" t="s">
        <v>235</v>
      </c>
      <c r="E187" s="4" t="s">
        <v>191</v>
      </c>
      <c r="F187" s="4"/>
      <c r="G187" s="1" t="s">
        <v>42</v>
      </c>
      <c r="H187" s="1" t="s">
        <v>59</v>
      </c>
      <c r="I187" s="1" t="s">
        <v>242</v>
      </c>
      <c r="J187" t="str">
        <f t="shared" si="13"/>
        <v>, AUTH_GRADE INT(1) NULL COMMENT '권한등급(1:읽기, 2:읽기/쓰기, 3:기타권한1, 4:기타권한2 ...)'</v>
      </c>
    </row>
    <row r="188" spans="2:10" x14ac:dyDescent="0.4">
      <c r="B188" s="4">
        <v>4</v>
      </c>
      <c r="C188" s="1" t="s">
        <v>236</v>
      </c>
      <c r="D188" s="1" t="s">
        <v>237</v>
      </c>
      <c r="E188" s="4" t="s">
        <v>241</v>
      </c>
      <c r="F188" s="4"/>
      <c r="G188" s="1" t="s">
        <v>42</v>
      </c>
      <c r="H188" s="1" t="s">
        <v>59</v>
      </c>
      <c r="I188" s="1" t="s">
        <v>243</v>
      </c>
      <c r="J188" t="str">
        <f t="shared" si="13"/>
        <v>, AUTH_NM VARCHAR(300) NULL COMMENT '권한명(1:읽기, 2:읽기/쓰기, 3:기타권한1, 4:기타권한2 ...)'</v>
      </c>
    </row>
    <row r="189" spans="2:10" x14ac:dyDescent="0.4">
      <c r="B189" s="4">
        <v>5</v>
      </c>
      <c r="C189" s="1" t="s">
        <v>327</v>
      </c>
      <c r="D189" s="1" t="s">
        <v>329</v>
      </c>
      <c r="E189" s="4" t="s">
        <v>299</v>
      </c>
      <c r="F189" s="4"/>
      <c r="G189" s="1" t="s">
        <v>40</v>
      </c>
      <c r="H189" s="1" t="s">
        <v>59</v>
      </c>
      <c r="I189" s="1" t="s">
        <v>329</v>
      </c>
      <c r="J189" t="str">
        <f t="shared" si="13"/>
        <v>, FST_REG_SEQ INT NOT NULL COMMENT '최초등록자일련번호'</v>
      </c>
    </row>
    <row r="190" spans="2:10" x14ac:dyDescent="0.4">
      <c r="B190" s="4">
        <v>6</v>
      </c>
      <c r="C190" s="1" t="s">
        <v>50</v>
      </c>
      <c r="D190" s="1" t="s">
        <v>56</v>
      </c>
      <c r="E190" s="4" t="s">
        <v>49</v>
      </c>
      <c r="F190" s="4"/>
      <c r="G190" s="1" t="s">
        <v>40</v>
      </c>
      <c r="H190" s="1" t="s">
        <v>60</v>
      </c>
      <c r="I190" s="1" t="s">
        <v>56</v>
      </c>
      <c r="J190" t="str">
        <f t="shared" si="13"/>
        <v>, FST_REG_DTTI TIMESTAMP NOT NULL DEFAULT NOW() COMMENT '최초등록일시'</v>
      </c>
    </row>
    <row r="191" spans="2:10" x14ac:dyDescent="0.4">
      <c r="B191" s="4">
        <v>7</v>
      </c>
      <c r="C191" s="1" t="s">
        <v>520</v>
      </c>
      <c r="D191" s="1" t="s">
        <v>330</v>
      </c>
      <c r="E191" s="4" t="s">
        <v>299</v>
      </c>
      <c r="F191" s="4"/>
      <c r="G191" s="1" t="s">
        <v>40</v>
      </c>
      <c r="H191" s="1" t="s">
        <v>59</v>
      </c>
      <c r="I191" s="1" t="s">
        <v>330</v>
      </c>
      <c r="J191" t="str">
        <f t="shared" si="13"/>
        <v>, LST_UPD_SEQ INT NOT NULL COMMENT '최종수정자일련번호'</v>
      </c>
    </row>
    <row r="192" spans="2:10" x14ac:dyDescent="0.4">
      <c r="B192" s="4">
        <v>8</v>
      </c>
      <c r="C192" s="1" t="s">
        <v>515</v>
      </c>
      <c r="D192" s="1" t="s">
        <v>57</v>
      </c>
      <c r="E192" s="4" t="s">
        <v>49</v>
      </c>
      <c r="F192" s="4"/>
      <c r="G192" s="1" t="s">
        <v>40</v>
      </c>
      <c r="H192" s="1" t="s">
        <v>60</v>
      </c>
      <c r="I192" s="1" t="s">
        <v>57</v>
      </c>
      <c r="J192" t="str">
        <f t="shared" si="13"/>
        <v>, LST_UPD_DTTI TIMESTAMP NOT NULL DEFAULT NOW() COMMENT '최종수정일시'</v>
      </c>
    </row>
    <row r="193" spans="2:10" x14ac:dyDescent="0.4">
      <c r="J193" t="str">
        <f>_xlfn.CONCAT(") COMMENT '",E182,"';")</f>
        <v>) COMMENT '권한';</v>
      </c>
    </row>
    <row r="194" spans="2:10" x14ac:dyDescent="0.4">
      <c r="B194" s="6" t="s">
        <v>32</v>
      </c>
      <c r="C194" s="42" t="s">
        <v>44</v>
      </c>
      <c r="D194" s="42"/>
      <c r="E194" s="42"/>
      <c r="F194" s="42" t="s">
        <v>45</v>
      </c>
      <c r="G194" s="42"/>
      <c r="H194" s="42"/>
      <c r="I194" s="42"/>
      <c r="J194" t="str">
        <f>_xlfn.CONCAT("ALTER TABLE ",C182," ADD CONSTRAINT ",C196," PRIMARY KEY (")</f>
        <v>ALTER TABLE tb_auth ADD CONSTRAINT PK_tb_auth PRIMARY KEY (</v>
      </c>
    </row>
    <row r="195" spans="2:10" x14ac:dyDescent="0.4">
      <c r="B195" s="4">
        <v>1</v>
      </c>
      <c r="C195" s="43" t="str">
        <f>_xlfn.CONCAT("PK_",C182)</f>
        <v>PK_tb_auth</v>
      </c>
      <c r="D195" s="43"/>
      <c r="E195" s="43"/>
      <c r="F195" s="43" t="str">
        <f>C185</f>
        <v>MNU_SEQ</v>
      </c>
      <c r="G195" s="43"/>
      <c r="H195" s="43"/>
      <c r="I195" s="43"/>
      <c r="J195" t="str">
        <f>_xlfn.CONCAT(IF(B195=1,"",", "),F195)</f>
        <v>MNU_SEQ</v>
      </c>
    </row>
    <row r="196" spans="2:10" x14ac:dyDescent="0.4">
      <c r="B196" s="4">
        <v>2</v>
      </c>
      <c r="C196" s="43" t="str">
        <f>_xlfn.CONCAT("PK_",C182)</f>
        <v>PK_tb_auth</v>
      </c>
      <c r="D196" s="43"/>
      <c r="E196" s="43"/>
      <c r="F196" s="43" t="str">
        <f>C186</f>
        <v>ROLE_SEQ</v>
      </c>
      <c r="G196" s="43"/>
      <c r="H196" s="43"/>
      <c r="I196" s="43"/>
      <c r="J196" t="str">
        <f>_xlfn.CONCAT(IF(B196=1,"",", "),F196)</f>
        <v>, ROLE_SEQ</v>
      </c>
    </row>
    <row r="197" spans="2:10" x14ac:dyDescent="0.4">
      <c r="J197" t="str">
        <f>_xlfn.CONCAT(");")</f>
        <v>);</v>
      </c>
    </row>
    <row r="198" spans="2:10" x14ac:dyDescent="0.4">
      <c r="B198" s="38" t="s">
        <v>28</v>
      </c>
      <c r="C198" s="39"/>
      <c r="D198" s="39"/>
      <c r="E198" s="39"/>
      <c r="F198" s="39"/>
      <c r="G198" s="39"/>
      <c r="H198" s="39"/>
      <c r="I198" s="40"/>
    </row>
    <row r="199" spans="2:10" x14ac:dyDescent="0.4">
      <c r="B199" s="6" t="s">
        <v>1</v>
      </c>
      <c r="C199" s="4" t="s">
        <v>878</v>
      </c>
      <c r="D199" s="6" t="s">
        <v>3</v>
      </c>
      <c r="E199" s="4" t="s">
        <v>505</v>
      </c>
      <c r="F199" s="6" t="s">
        <v>29</v>
      </c>
      <c r="G199" s="4" t="s">
        <v>38</v>
      </c>
      <c r="H199" s="6" t="s">
        <v>30</v>
      </c>
      <c r="I199" s="7">
        <v>45840</v>
      </c>
      <c r="J199" t="str">
        <f>_xlfn.CONCAT("DROP TABLE IF EXISTS ",C199,";")</f>
        <v>DROP TABLE IF EXISTS tb_token;</v>
      </c>
    </row>
    <row r="200" spans="2:10" x14ac:dyDescent="0.4">
      <c r="B200" s="6" t="s">
        <v>31</v>
      </c>
      <c r="C200" s="41" t="s">
        <v>506</v>
      </c>
      <c r="D200" s="41"/>
      <c r="E200" s="41"/>
      <c r="F200" s="41"/>
      <c r="G200" s="41"/>
      <c r="H200" s="41"/>
      <c r="I200" s="41"/>
      <c r="J200" t="str">
        <f>_xlfn.CONCAT("CREATE TABLE ",C199)</f>
        <v>CREATE TABLE tb_token</v>
      </c>
    </row>
    <row r="201" spans="2:10" x14ac:dyDescent="0.4">
      <c r="B201" s="6" t="s">
        <v>32</v>
      </c>
      <c r="C201" s="6" t="s">
        <v>1</v>
      </c>
      <c r="D201" s="6" t="s">
        <v>3</v>
      </c>
      <c r="E201" s="6" t="s">
        <v>33</v>
      </c>
      <c r="F201" s="6" t="s">
        <v>34</v>
      </c>
      <c r="G201" s="6" t="s">
        <v>35</v>
      </c>
      <c r="H201" s="6" t="s">
        <v>22</v>
      </c>
      <c r="I201" s="6" t="s">
        <v>36</v>
      </c>
      <c r="J201" t="str">
        <f>_xlfn.CONCAT("(")</f>
        <v>(</v>
      </c>
    </row>
    <row r="202" spans="2:10" x14ac:dyDescent="0.4">
      <c r="B202" s="4">
        <v>1</v>
      </c>
      <c r="C202" s="1" t="s">
        <v>260</v>
      </c>
      <c r="D202" s="1" t="s">
        <v>78</v>
      </c>
      <c r="E202" s="4" t="s">
        <v>46</v>
      </c>
      <c r="F202" s="4">
        <v>1</v>
      </c>
      <c r="G202" s="1" t="s">
        <v>40</v>
      </c>
      <c r="H202" s="1" t="s">
        <v>59</v>
      </c>
      <c r="I202" s="1" t="s">
        <v>78</v>
      </c>
      <c r="J202" t="str">
        <f t="shared" ref="J202:J210" si="14">_xlfn.CONCAT(IF(B202=1,"",", "),C202," ",E202," ",G202,_xlfn.IFS(H202="","",H202="AUTO_INCREMENT"," AUTO_INCREMENT PRIMARY KEY",TRUE,_xlfn.CONCAT(" DEFAULT"," ",H202)), " COMMENT '",I202,"'")</f>
        <v>USER_ID VARCHAR(20) NOT NULL COMMENT '사용자아이디'</v>
      </c>
    </row>
    <row r="203" spans="2:10" x14ac:dyDescent="0.4">
      <c r="B203" s="4">
        <v>2</v>
      </c>
      <c r="C203" s="1" t="s">
        <v>507</v>
      </c>
      <c r="D203" s="1" t="s">
        <v>505</v>
      </c>
      <c r="E203" s="4" t="s">
        <v>189</v>
      </c>
      <c r="F203" s="4"/>
      <c r="G203" s="1" t="s">
        <v>43</v>
      </c>
      <c r="H203" s="1"/>
      <c r="I203" s="1" t="s">
        <v>505</v>
      </c>
      <c r="J203" t="str">
        <f t="shared" si="14"/>
        <v>, TOKEN VARCHAR(3000) NULL COMMENT '토큰'</v>
      </c>
    </row>
    <row r="204" spans="2:10" x14ac:dyDescent="0.4">
      <c r="B204" s="4">
        <v>3</v>
      </c>
      <c r="C204" s="1" t="s">
        <v>509</v>
      </c>
      <c r="D204" s="1" t="s">
        <v>511</v>
      </c>
      <c r="E204" s="4" t="s">
        <v>21</v>
      </c>
      <c r="F204" s="4"/>
      <c r="G204" s="1" t="s">
        <v>43</v>
      </c>
      <c r="H204" s="1" t="s">
        <v>27</v>
      </c>
      <c r="I204" s="1" t="s">
        <v>511</v>
      </c>
      <c r="J204" t="str">
        <f t="shared" si="14"/>
        <v>, CREATE_DTTI TIMESTAMP NULL DEFAULT NOW() COMMENT '생성일시'</v>
      </c>
    </row>
    <row r="205" spans="2:10" x14ac:dyDescent="0.4">
      <c r="B205" s="4">
        <v>4</v>
      </c>
      <c r="C205" s="1" t="s">
        <v>510</v>
      </c>
      <c r="D205" s="1" t="s">
        <v>508</v>
      </c>
      <c r="E205" s="4" t="s">
        <v>49</v>
      </c>
      <c r="F205" s="4"/>
      <c r="G205" s="1" t="s">
        <v>43</v>
      </c>
      <c r="H205" s="8"/>
      <c r="I205" s="1" t="s">
        <v>508</v>
      </c>
      <c r="J205" t="str">
        <f t="shared" si="14"/>
        <v>, EXPIRY_DTTI TIMESTAMP NULL COMMENT '만료일시'</v>
      </c>
    </row>
    <row r="206" spans="2:10" x14ac:dyDescent="0.4">
      <c r="B206" s="4">
        <v>5</v>
      </c>
      <c r="C206" s="1" t="s">
        <v>512</v>
      </c>
      <c r="D206" s="1" t="s">
        <v>513</v>
      </c>
      <c r="E206" s="4" t="s">
        <v>189</v>
      </c>
      <c r="F206" s="4"/>
      <c r="G206" s="1" t="s">
        <v>43</v>
      </c>
      <c r="H206" s="1" t="s">
        <v>59</v>
      </c>
      <c r="I206" s="1" t="s">
        <v>513</v>
      </c>
      <c r="J206" t="str">
        <f t="shared" si="14"/>
        <v>, DEVICE_INFO VARCHAR(3000) NULL COMMENT '기기정보'</v>
      </c>
    </row>
    <row r="207" spans="2:10" x14ac:dyDescent="0.4">
      <c r="B207" s="4">
        <v>6</v>
      </c>
      <c r="C207" s="1" t="s">
        <v>327</v>
      </c>
      <c r="D207" s="1" t="s">
        <v>196</v>
      </c>
      <c r="E207" s="4" t="s">
        <v>46</v>
      </c>
      <c r="F207" s="4"/>
      <c r="G207" s="1" t="s">
        <v>40</v>
      </c>
      <c r="H207" s="1" t="s">
        <v>59</v>
      </c>
      <c r="I207" s="1" t="s">
        <v>329</v>
      </c>
      <c r="J207" t="str">
        <f t="shared" si="14"/>
        <v>, FST_REG_SEQ VARCHAR(20) NOT NULL COMMENT '최초등록자일련번호'</v>
      </c>
    </row>
    <row r="208" spans="2:10" x14ac:dyDescent="0.4">
      <c r="B208" s="4">
        <v>7</v>
      </c>
      <c r="C208" s="1" t="s">
        <v>514</v>
      </c>
      <c r="D208" s="1" t="s">
        <v>56</v>
      </c>
      <c r="E208" s="4" t="s">
        <v>49</v>
      </c>
      <c r="F208" s="4"/>
      <c r="G208" s="1" t="s">
        <v>40</v>
      </c>
      <c r="H208" s="1" t="s">
        <v>27</v>
      </c>
      <c r="I208" s="1" t="s">
        <v>56</v>
      </c>
      <c r="J208" t="str">
        <f t="shared" si="14"/>
        <v>, FST_REG_DTTI TIMESTAMP NOT NULL DEFAULT NOW() COMMENT '최초등록일시'</v>
      </c>
    </row>
    <row r="209" spans="2:10" x14ac:dyDescent="0.4">
      <c r="B209" s="4">
        <v>8</v>
      </c>
      <c r="C209" s="1" t="s">
        <v>520</v>
      </c>
      <c r="D209" s="1" t="s">
        <v>197</v>
      </c>
      <c r="E209" s="4" t="s">
        <v>46</v>
      </c>
      <c r="F209" s="4"/>
      <c r="G209" s="1" t="s">
        <v>40</v>
      </c>
      <c r="H209" s="1" t="s">
        <v>59</v>
      </c>
      <c r="I209" s="1" t="s">
        <v>330</v>
      </c>
      <c r="J209" t="str">
        <f t="shared" si="14"/>
        <v>, LST_UPD_SEQ VARCHAR(20) NOT NULL COMMENT '최종수정자일련번호'</v>
      </c>
    </row>
    <row r="210" spans="2:10" x14ac:dyDescent="0.4">
      <c r="B210" s="4">
        <v>9</v>
      </c>
      <c r="C210" s="1" t="s">
        <v>516</v>
      </c>
      <c r="D210" s="1" t="s">
        <v>57</v>
      </c>
      <c r="E210" s="4" t="s">
        <v>49</v>
      </c>
      <c r="F210" s="4"/>
      <c r="G210" s="1" t="s">
        <v>40</v>
      </c>
      <c r="H210" s="1" t="s">
        <v>60</v>
      </c>
      <c r="I210" s="1" t="s">
        <v>57</v>
      </c>
      <c r="J210" t="str">
        <f t="shared" si="14"/>
        <v>, LST_UPD_DTTI TIMESTAMP NOT NULL DEFAULT NOW() COMMENT '최종수정일시'</v>
      </c>
    </row>
    <row r="211" spans="2:10" x14ac:dyDescent="0.4">
      <c r="J211" t="str">
        <f>_xlfn.CONCAT(") COMMENT '",E199,"';")</f>
        <v>) COMMENT '토큰';</v>
      </c>
    </row>
    <row r="212" spans="2:10" x14ac:dyDescent="0.4">
      <c r="B212" s="6" t="s">
        <v>32</v>
      </c>
      <c r="C212" s="42" t="s">
        <v>44</v>
      </c>
      <c r="D212" s="42"/>
      <c r="E212" s="42"/>
      <c r="F212" s="42" t="s">
        <v>45</v>
      </c>
      <c r="G212" s="42"/>
      <c r="H212" s="42"/>
      <c r="I212" s="42"/>
      <c r="J212" t="str">
        <f>_xlfn.CONCAT("ALTER TABLE ",C199," ADD CONSTRAINT ",C213," PRIMARY KEY (")</f>
        <v>ALTER TABLE tb_token ADD CONSTRAINT PK_tb_token PRIMARY KEY (</v>
      </c>
    </row>
    <row r="213" spans="2:10" x14ac:dyDescent="0.4">
      <c r="B213" s="4">
        <v>1</v>
      </c>
      <c r="C213" s="43" t="str">
        <f>_xlfn.CONCAT("PK_",C199)</f>
        <v>PK_tb_token</v>
      </c>
      <c r="D213" s="43"/>
      <c r="E213" s="43"/>
      <c r="F213" s="43" t="str">
        <f>C202</f>
        <v>USER_ID</v>
      </c>
      <c r="G213" s="43"/>
      <c r="H213" s="43"/>
      <c r="I213" s="43"/>
      <c r="J213" t="str">
        <f>_xlfn.CONCAT(IF(B213=1,"",", "),F213)</f>
        <v>USER_ID</v>
      </c>
    </row>
    <row r="214" spans="2:10" x14ac:dyDescent="0.4">
      <c r="J214" t="str">
        <f>_xlfn.CONCAT(");")</f>
        <v>);</v>
      </c>
    </row>
  </sheetData>
  <mergeCells count="60">
    <mergeCell ref="B153:I153"/>
    <mergeCell ref="C155:I155"/>
    <mergeCell ref="B166:I166"/>
    <mergeCell ref="C168:I168"/>
    <mergeCell ref="C177:E177"/>
    <mergeCell ref="F177:I177"/>
    <mergeCell ref="C179:E179"/>
    <mergeCell ref="F179:I179"/>
    <mergeCell ref="C178:E178"/>
    <mergeCell ref="F178:I178"/>
    <mergeCell ref="C196:E196"/>
    <mergeCell ref="F196:I196"/>
    <mergeCell ref="B181:I181"/>
    <mergeCell ref="C183:I183"/>
    <mergeCell ref="C194:E194"/>
    <mergeCell ref="F194:I194"/>
    <mergeCell ref="C195:E195"/>
    <mergeCell ref="F195:I195"/>
    <mergeCell ref="B2:I2"/>
    <mergeCell ref="C4:I4"/>
    <mergeCell ref="B132:I132"/>
    <mergeCell ref="C134:I134"/>
    <mergeCell ref="B39:I39"/>
    <mergeCell ref="C41:I41"/>
    <mergeCell ref="C53:E53"/>
    <mergeCell ref="F53:I53"/>
    <mergeCell ref="C54:E54"/>
    <mergeCell ref="F54:I54"/>
    <mergeCell ref="B24:I24"/>
    <mergeCell ref="C26:I26"/>
    <mergeCell ref="C36:E36"/>
    <mergeCell ref="F36:I36"/>
    <mergeCell ref="F115:I115"/>
    <mergeCell ref="C37:E37"/>
    <mergeCell ref="F37:I37"/>
    <mergeCell ref="C55:E55"/>
    <mergeCell ref="F55:I55"/>
    <mergeCell ref="B57:I57"/>
    <mergeCell ref="C59:I59"/>
    <mergeCell ref="B68:I68"/>
    <mergeCell ref="C70:I70"/>
    <mergeCell ref="B118:I118"/>
    <mergeCell ref="C120:I120"/>
    <mergeCell ref="B96:I96"/>
    <mergeCell ref="C98:I98"/>
    <mergeCell ref="C113:E113"/>
    <mergeCell ref="F113:I113"/>
    <mergeCell ref="C114:E114"/>
    <mergeCell ref="F114:I114"/>
    <mergeCell ref="C116:E116"/>
    <mergeCell ref="F116:I116"/>
    <mergeCell ref="B80:I80"/>
    <mergeCell ref="C82:I82"/>
    <mergeCell ref="C115:E115"/>
    <mergeCell ref="B198:I198"/>
    <mergeCell ref="C200:I200"/>
    <mergeCell ref="C212:E212"/>
    <mergeCell ref="F212:I212"/>
    <mergeCell ref="C213:E213"/>
    <mergeCell ref="F213:I2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C4F1-2848-4D2F-8810-DC88E1558CBC}">
  <dimension ref="B2:J72"/>
  <sheetViews>
    <sheetView topLeftCell="A52" zoomScale="85" zoomScaleNormal="85" workbookViewId="0">
      <selection activeCell="E68" sqref="E68"/>
    </sheetView>
  </sheetViews>
  <sheetFormatPr defaultRowHeight="17.399999999999999" x14ac:dyDescent="0.4"/>
  <cols>
    <col min="1" max="1" width="2.09765625" bestFit="1" customWidth="1"/>
    <col min="2" max="2" width="11.19921875" bestFit="1" customWidth="1"/>
    <col min="3" max="3" width="22.5" bestFit="1" customWidth="1"/>
    <col min="4" max="4" width="20.59765625" bestFit="1" customWidth="1"/>
    <col min="5" max="5" width="20.09765625" bestFit="1" customWidth="1"/>
    <col min="6" max="6" width="7" style="3" bestFit="1" customWidth="1"/>
    <col min="7" max="7" width="15" bestFit="1" customWidth="1"/>
    <col min="8" max="8" width="30.59765625" bestFit="1" customWidth="1"/>
    <col min="9" max="9" width="76.09765625" bestFit="1" customWidth="1"/>
    <col min="10" max="10" width="107.69921875" customWidth="1"/>
  </cols>
  <sheetData>
    <row r="2" spans="2:10" x14ac:dyDescent="0.4">
      <c r="B2" s="38" t="s">
        <v>28</v>
      </c>
      <c r="C2" s="39"/>
      <c r="D2" s="39"/>
      <c r="E2" s="39"/>
      <c r="F2" s="39"/>
      <c r="G2" s="39"/>
      <c r="H2" s="39"/>
      <c r="I2" s="40"/>
    </row>
    <row r="3" spans="2:10" x14ac:dyDescent="0.4">
      <c r="B3" s="6" t="s">
        <v>1</v>
      </c>
      <c r="C3" s="4" t="s">
        <v>879</v>
      </c>
      <c r="D3" s="6" t="s">
        <v>3</v>
      </c>
      <c r="E3" s="4" t="s">
        <v>315</v>
      </c>
      <c r="F3" s="6" t="s">
        <v>29</v>
      </c>
      <c r="G3" s="4" t="s">
        <v>38</v>
      </c>
      <c r="H3" s="6" t="s">
        <v>30</v>
      </c>
      <c r="I3" s="7">
        <v>45404</v>
      </c>
      <c r="J3" t="str">
        <f>_xlfn.CONCAT("DROP TABLE IF EXISTS ",C3,";")</f>
        <v>DROP TABLE IF EXISTS tb_item;</v>
      </c>
    </row>
    <row r="4" spans="2:10" x14ac:dyDescent="0.4">
      <c r="B4" s="6" t="s">
        <v>31</v>
      </c>
      <c r="C4" s="41" t="s">
        <v>481</v>
      </c>
      <c r="D4" s="41"/>
      <c r="E4" s="41"/>
      <c r="F4" s="41"/>
      <c r="G4" s="41"/>
      <c r="H4" s="41"/>
      <c r="I4" s="41"/>
      <c r="J4" t="str">
        <f>_xlfn.CONCAT("CREATE TABLE ",C3)</f>
        <v>CREATE TABLE tb_item</v>
      </c>
    </row>
    <row r="5" spans="2:10" x14ac:dyDescent="0.4">
      <c r="B5" s="6" t="s">
        <v>32</v>
      </c>
      <c r="C5" s="6" t="s">
        <v>1</v>
      </c>
      <c r="D5" s="6" t="s">
        <v>3</v>
      </c>
      <c r="E5" s="6" t="s">
        <v>33</v>
      </c>
      <c r="F5" s="6" t="s">
        <v>34</v>
      </c>
      <c r="G5" s="6" t="s">
        <v>35</v>
      </c>
      <c r="H5" s="6" t="s">
        <v>22</v>
      </c>
      <c r="I5" s="6" t="s">
        <v>36</v>
      </c>
      <c r="J5" t="str">
        <f>_xlfn.CONCAT("(")</f>
        <v>(</v>
      </c>
    </row>
    <row r="6" spans="2:10" x14ac:dyDescent="0.4">
      <c r="B6" s="4">
        <v>1</v>
      </c>
      <c r="C6" s="1" t="s">
        <v>316</v>
      </c>
      <c r="D6" s="1" t="s">
        <v>317</v>
      </c>
      <c r="E6" s="4" t="s">
        <v>299</v>
      </c>
      <c r="F6" s="4">
        <v>1</v>
      </c>
      <c r="G6" s="1" t="s">
        <v>40</v>
      </c>
      <c r="H6" s="1" t="s">
        <v>326</v>
      </c>
      <c r="I6" s="1" t="s">
        <v>317</v>
      </c>
      <c r="J6" t="str">
        <f>_xlfn.CONCAT(IF(B6=1,"",", "),C6," ",E6," ",G6,_xlfn.IFS(H6="","",H6="AUTO_INCREMENT"," AUTO_INCREMENT PRIMARY KEY",TRUE,_xlfn.CONCAT(" DEFAULT"," ",H6)), " COMMENT '",I6,"'")</f>
        <v>ITEM_SEQ INT NOT NULL AUTO_INCREMENT PRIMARY KEY COMMENT '상품일련번호'</v>
      </c>
    </row>
    <row r="7" spans="2:10" x14ac:dyDescent="0.4">
      <c r="B7" s="4">
        <v>2</v>
      </c>
      <c r="C7" s="1" t="s">
        <v>318</v>
      </c>
      <c r="D7" s="1" t="s">
        <v>300</v>
      </c>
      <c r="E7" s="4" t="s">
        <v>241</v>
      </c>
      <c r="F7" s="4"/>
      <c r="G7" s="1" t="s">
        <v>43</v>
      </c>
      <c r="H7" s="1"/>
      <c r="I7" s="1" t="s">
        <v>300</v>
      </c>
      <c r="J7" t="str">
        <f t="shared" ref="J7:J19" si="0">_xlfn.CONCAT(IF(B7=1,"",", "),C7," ",E7," ",G7,_xlfn.IFS(H7="","",H7="AUTO_INCREMENT"," AUTO_INCREMENT PRIMARY KEY",TRUE,_xlfn.CONCAT(" DEFAULT"," ",H7)), " COMMENT '",I7,"'")</f>
        <v>, ITEM_NM VARCHAR(300) NULL COMMENT '상품명'</v>
      </c>
    </row>
    <row r="8" spans="2:10" x14ac:dyDescent="0.4">
      <c r="B8" s="4">
        <v>3</v>
      </c>
      <c r="C8" s="1" t="s">
        <v>297</v>
      </c>
      <c r="D8" s="1" t="s">
        <v>298</v>
      </c>
      <c r="E8" s="4" t="s">
        <v>299</v>
      </c>
      <c r="F8" s="4"/>
      <c r="G8" s="1" t="s">
        <v>43</v>
      </c>
      <c r="H8" s="1"/>
      <c r="I8" s="1" t="s">
        <v>484</v>
      </c>
      <c r="J8" t="str">
        <f t="shared" si="0"/>
        <v>, PRICE INT NULL COMMENT '상품 1개 판매 가격'</v>
      </c>
    </row>
    <row r="9" spans="2:10" x14ac:dyDescent="0.4">
      <c r="B9" s="4">
        <v>4</v>
      </c>
      <c r="C9" s="1" t="s">
        <v>352</v>
      </c>
      <c r="D9" s="1" t="s">
        <v>350</v>
      </c>
      <c r="E9" s="4" t="s">
        <v>299</v>
      </c>
      <c r="F9" s="4"/>
      <c r="G9" s="1" t="s">
        <v>43</v>
      </c>
      <c r="H9" s="1"/>
      <c r="I9" s="1" t="s">
        <v>350</v>
      </c>
      <c r="J9" t="str">
        <f>_xlfn.CONCAT(IF(B9=1,"",", "),C9," ",E9," ",G9,_xlfn.IFS(H9="","",H9="AUTO_INCREMENT"," AUTO_INCREMENT PRIMARY KEY",TRUE,_xlfn.CONCAT(" DEFAULT"," ",H9)), " COMMENT '",I9,"'")</f>
        <v>, UNIT INT NULL COMMENT '판매단위'</v>
      </c>
    </row>
    <row r="10" spans="2:10" x14ac:dyDescent="0.4">
      <c r="B10" s="4">
        <v>5</v>
      </c>
      <c r="C10" s="1" t="s">
        <v>265</v>
      </c>
      <c r="D10" s="1" t="s">
        <v>312</v>
      </c>
      <c r="E10" s="4" t="s">
        <v>189</v>
      </c>
      <c r="F10" s="4"/>
      <c r="G10" s="1" t="s">
        <v>43</v>
      </c>
      <c r="H10" s="1" t="s">
        <v>59</v>
      </c>
      <c r="I10" s="1" t="s">
        <v>312</v>
      </c>
      <c r="J10" t="str">
        <f t="shared" si="0"/>
        <v>, RMRK VARCHAR(3000) NULL COMMENT '비고'</v>
      </c>
    </row>
    <row r="11" spans="2:10" x14ac:dyDescent="0.4">
      <c r="B11" s="4">
        <v>6</v>
      </c>
      <c r="C11" s="1" t="s">
        <v>319</v>
      </c>
      <c r="D11" s="1" t="s">
        <v>320</v>
      </c>
      <c r="E11" s="4" t="s">
        <v>169</v>
      </c>
      <c r="F11" s="4"/>
      <c r="G11" s="1"/>
      <c r="H11" s="1"/>
      <c r="I11" s="1" t="s">
        <v>321</v>
      </c>
      <c r="J11" t="str">
        <f t="shared" si="0"/>
        <v>, IMG VARCHAR(100)  COMMENT '이미지 파일명'</v>
      </c>
    </row>
    <row r="12" spans="2:10" x14ac:dyDescent="0.4">
      <c r="B12" s="4">
        <v>7</v>
      </c>
      <c r="C12" s="1" t="s">
        <v>342</v>
      </c>
      <c r="D12" s="1" t="s">
        <v>344</v>
      </c>
      <c r="E12" s="4" t="s">
        <v>24</v>
      </c>
      <c r="F12" s="4"/>
      <c r="G12" s="1" t="s">
        <v>43</v>
      </c>
      <c r="H12" s="8"/>
      <c r="I12" s="1" t="s">
        <v>344</v>
      </c>
      <c r="J12" t="str">
        <f>_xlfn.CONCAT(IF(B12=1,"",", "),C12," ",E12," ",G12,_xlfn.IFS(H12="","",H12="AUTO_INCREMENT"," AUTO_INCREMENT PRIMARY KEY",TRUE,_xlfn.CONCAT(" DEFAULT"," ",H12)), " COMMENT '",I12,"'")</f>
        <v>, ITEM_TYPE_CODE VARCHAR(10) NULL COMMENT '상품 분류코드'</v>
      </c>
    </row>
    <row r="13" spans="2:10" x14ac:dyDescent="0.4">
      <c r="B13" s="4">
        <v>8</v>
      </c>
      <c r="C13" s="1" t="s">
        <v>346</v>
      </c>
      <c r="D13" s="1" t="s">
        <v>348</v>
      </c>
      <c r="E13" s="4" t="s">
        <v>24</v>
      </c>
      <c r="F13" s="4"/>
      <c r="G13" s="1" t="s">
        <v>43</v>
      </c>
      <c r="H13" s="8"/>
      <c r="I13" s="1" t="s">
        <v>348</v>
      </c>
      <c r="J13" t="str">
        <f>_xlfn.CONCAT(IF(B13=1,"",", "),C13," ",E13," ",G13,_xlfn.IFS(H13="","",H13="AUTO_INCREMENT"," AUTO_INCREMENT PRIMARY KEY",TRUE,_xlfn.CONCAT(" DEFAULT"," ",H13)), " COMMENT '",I13,"'")</f>
        <v>, ITEM_DTL_TYPE_CODE VARCHAR(10) NULL COMMENT '상품 상세 분류코드'</v>
      </c>
    </row>
    <row r="14" spans="2:10" x14ac:dyDescent="0.4">
      <c r="B14" s="4">
        <v>9</v>
      </c>
      <c r="C14" s="1" t="s">
        <v>486</v>
      </c>
      <c r="D14" s="1" t="s">
        <v>487</v>
      </c>
      <c r="E14" s="4" t="s">
        <v>292</v>
      </c>
      <c r="F14" s="4"/>
      <c r="G14" s="1" t="s">
        <v>43</v>
      </c>
      <c r="H14" s="8" t="s">
        <v>488</v>
      </c>
      <c r="I14" s="1" t="s">
        <v>487</v>
      </c>
      <c r="J14" t="str">
        <f>_xlfn.CONCAT(IF(B14=1,"",", "),C14," ",E14," ",G14,_xlfn.IFS(H14="","",H14="AUTO_INCREMENT"," AUTO_INCREMENT PRIMARY KEY",TRUE,_xlfn.CONCAT(" DEFAULT"," ",H14)), " COMMENT '",I14,"'")</f>
        <v>, SOLD_OUT_YN VARCHAR(1) NULL DEFAULT 'N' COMMENT '품절여부'</v>
      </c>
    </row>
    <row r="15" spans="2:10" x14ac:dyDescent="0.4">
      <c r="B15" s="4">
        <v>10</v>
      </c>
      <c r="C15" s="1" t="s">
        <v>290</v>
      </c>
      <c r="D15" s="1" t="s">
        <v>291</v>
      </c>
      <c r="E15" s="4" t="s">
        <v>292</v>
      </c>
      <c r="F15" s="4"/>
      <c r="G15" s="1" t="s">
        <v>43</v>
      </c>
      <c r="H15" s="8" t="s">
        <v>293</v>
      </c>
      <c r="I15" s="1" t="s">
        <v>291</v>
      </c>
      <c r="J15" t="str">
        <f t="shared" si="0"/>
        <v>, USE_YN VARCHAR(1) NULL DEFAULT 'Y' COMMENT '사용여부'</v>
      </c>
    </row>
    <row r="16" spans="2:10" x14ac:dyDescent="0.4">
      <c r="B16" s="4">
        <v>11</v>
      </c>
      <c r="C16" s="1" t="s">
        <v>327</v>
      </c>
      <c r="D16" s="1" t="s">
        <v>329</v>
      </c>
      <c r="E16" s="4" t="s">
        <v>299</v>
      </c>
      <c r="F16" s="4"/>
      <c r="G16" s="1" t="s">
        <v>40</v>
      </c>
      <c r="H16" s="1" t="s">
        <v>59</v>
      </c>
      <c r="I16" s="1" t="s">
        <v>329</v>
      </c>
      <c r="J16" t="str">
        <f t="shared" si="0"/>
        <v>, FST_REG_SEQ INT NOT NULL COMMENT '최초등록자일련번호'</v>
      </c>
    </row>
    <row r="17" spans="2:10" x14ac:dyDescent="0.4">
      <c r="B17" s="4">
        <v>12</v>
      </c>
      <c r="C17" s="1" t="s">
        <v>50</v>
      </c>
      <c r="D17" s="1" t="s">
        <v>56</v>
      </c>
      <c r="E17" s="4" t="s">
        <v>49</v>
      </c>
      <c r="F17" s="4"/>
      <c r="G17" s="1" t="s">
        <v>40</v>
      </c>
      <c r="H17" s="1" t="s">
        <v>60</v>
      </c>
      <c r="I17" s="1" t="s">
        <v>56</v>
      </c>
      <c r="J17" t="str">
        <f t="shared" si="0"/>
        <v>, FST_REG_DTTI TIMESTAMP NOT NULL DEFAULT NOW() COMMENT '최초등록일시'</v>
      </c>
    </row>
    <row r="18" spans="2:10" x14ac:dyDescent="0.4">
      <c r="B18" s="4">
        <v>13</v>
      </c>
      <c r="C18" s="1" t="s">
        <v>520</v>
      </c>
      <c r="D18" s="1" t="s">
        <v>330</v>
      </c>
      <c r="E18" s="4" t="s">
        <v>299</v>
      </c>
      <c r="F18" s="4"/>
      <c r="G18" s="1" t="s">
        <v>40</v>
      </c>
      <c r="H18" s="1" t="s">
        <v>59</v>
      </c>
      <c r="I18" s="1" t="s">
        <v>330</v>
      </c>
      <c r="J18" t="str">
        <f t="shared" si="0"/>
        <v>, LST_UPD_SEQ INT NOT NULL COMMENT '최종수정자일련번호'</v>
      </c>
    </row>
    <row r="19" spans="2:10" x14ac:dyDescent="0.4">
      <c r="B19" s="4">
        <v>14</v>
      </c>
      <c r="C19" s="1" t="s">
        <v>515</v>
      </c>
      <c r="D19" s="1" t="s">
        <v>57</v>
      </c>
      <c r="E19" s="4" t="s">
        <v>49</v>
      </c>
      <c r="F19" s="4"/>
      <c r="G19" s="1" t="s">
        <v>40</v>
      </c>
      <c r="H19" s="1" t="s">
        <v>60</v>
      </c>
      <c r="I19" s="1" t="s">
        <v>57</v>
      </c>
      <c r="J19" t="str">
        <f t="shared" si="0"/>
        <v>, LST_UPD_DTTI TIMESTAMP NOT NULL DEFAULT NOW() COMMENT '최종수정일시'</v>
      </c>
    </row>
    <row r="20" spans="2:10" x14ac:dyDescent="0.4">
      <c r="J20" t="str">
        <f>_xlfn.CONCAT(") COMMENT '",E3,"';")</f>
        <v>) COMMENT '상품';</v>
      </c>
    </row>
    <row r="21" spans="2:10" x14ac:dyDescent="0.4">
      <c r="B21" s="38" t="s">
        <v>28</v>
      </c>
      <c r="C21" s="39"/>
      <c r="D21" s="39"/>
      <c r="E21" s="39"/>
      <c r="F21" s="39"/>
      <c r="G21" s="39"/>
      <c r="H21" s="39"/>
      <c r="I21" s="40"/>
    </row>
    <row r="22" spans="2:10" x14ac:dyDescent="0.4">
      <c r="B22" s="6" t="s">
        <v>1</v>
      </c>
      <c r="C22" s="4" t="s">
        <v>880</v>
      </c>
      <c r="D22" s="6" t="s">
        <v>3</v>
      </c>
      <c r="E22" s="4" t="s">
        <v>322</v>
      </c>
      <c r="F22" s="6" t="s">
        <v>29</v>
      </c>
      <c r="G22" s="4" t="s">
        <v>38</v>
      </c>
      <c r="H22" s="6" t="s">
        <v>30</v>
      </c>
      <c r="I22" s="7">
        <v>45404</v>
      </c>
      <c r="J22" t="str">
        <f>_xlfn.CONCAT("DROP TABLE IF EXISTS ",C22,";")</f>
        <v>DROP TABLE IF EXISTS tb_basket;</v>
      </c>
    </row>
    <row r="23" spans="2:10" x14ac:dyDescent="0.4">
      <c r="B23" s="6" t="s">
        <v>31</v>
      </c>
      <c r="C23" s="41" t="s">
        <v>480</v>
      </c>
      <c r="D23" s="41"/>
      <c r="E23" s="41"/>
      <c r="F23" s="41"/>
      <c r="G23" s="41"/>
      <c r="H23" s="41"/>
      <c r="I23" s="41"/>
      <c r="J23" t="str">
        <f>_xlfn.CONCAT("CREATE TABLE ",C22)</f>
        <v>CREATE TABLE tb_basket</v>
      </c>
    </row>
    <row r="24" spans="2:10" x14ac:dyDescent="0.4">
      <c r="B24" s="6" t="s">
        <v>32</v>
      </c>
      <c r="C24" s="6" t="s">
        <v>1</v>
      </c>
      <c r="D24" s="6" t="s">
        <v>3</v>
      </c>
      <c r="E24" s="6" t="s">
        <v>33</v>
      </c>
      <c r="F24" s="6" t="s">
        <v>34</v>
      </c>
      <c r="G24" s="6" t="s">
        <v>35</v>
      </c>
      <c r="H24" s="6" t="s">
        <v>22</v>
      </c>
      <c r="I24" s="6" t="s">
        <v>36</v>
      </c>
      <c r="J24" t="str">
        <f>_xlfn.CONCAT("(")</f>
        <v>(</v>
      </c>
    </row>
    <row r="25" spans="2:10" x14ac:dyDescent="0.4">
      <c r="B25" s="4">
        <v>1</v>
      </c>
      <c r="C25" s="1" t="s">
        <v>324</v>
      </c>
      <c r="D25" s="1" t="s">
        <v>325</v>
      </c>
      <c r="E25" s="4" t="s">
        <v>299</v>
      </c>
      <c r="F25" s="4">
        <v>1</v>
      </c>
      <c r="G25" s="1" t="s">
        <v>40</v>
      </c>
      <c r="H25" s="1"/>
      <c r="I25" s="1" t="s">
        <v>325</v>
      </c>
      <c r="J25" t="str">
        <f t="shared" ref="J25:J31" si="1">_xlfn.CONCAT(IF(B25=1,"",", "),C25," ",E25," ",G25,_xlfn.IFS(H25="","",H25="AUTO_INCREMENT"," AUTO_INCREMENT PRIMARY KEY",TRUE,_xlfn.CONCAT(" DEFAULT"," ",H25)), " COMMENT '",I25,"'")</f>
        <v>USER_SEQ INT NOT NULL COMMENT '사용자일련번호'</v>
      </c>
    </row>
    <row r="26" spans="2:10" x14ac:dyDescent="0.4">
      <c r="B26" s="4">
        <v>2</v>
      </c>
      <c r="C26" s="1" t="s">
        <v>316</v>
      </c>
      <c r="D26" s="1" t="s">
        <v>317</v>
      </c>
      <c r="E26" s="4" t="s">
        <v>299</v>
      </c>
      <c r="F26" s="4">
        <v>2</v>
      </c>
      <c r="G26" s="1" t="s">
        <v>40</v>
      </c>
      <c r="H26" s="1" t="s">
        <v>59</v>
      </c>
      <c r="I26" s="1" t="s">
        <v>317</v>
      </c>
      <c r="J26" t="str">
        <f t="shared" si="1"/>
        <v>, ITEM_SEQ INT NOT NULL COMMENT '상품일련번호'</v>
      </c>
    </row>
    <row r="27" spans="2:10" x14ac:dyDescent="0.4">
      <c r="B27" s="4">
        <v>3</v>
      </c>
      <c r="C27" s="1" t="s">
        <v>301</v>
      </c>
      <c r="D27" s="1" t="s">
        <v>323</v>
      </c>
      <c r="E27" s="4" t="s">
        <v>299</v>
      </c>
      <c r="F27" s="4"/>
      <c r="G27" s="1" t="s">
        <v>43</v>
      </c>
      <c r="H27" s="1" t="s">
        <v>59</v>
      </c>
      <c r="I27" s="1" t="s">
        <v>323</v>
      </c>
      <c r="J27" t="str">
        <f t="shared" si="1"/>
        <v>, CNT INT NULL COMMENT '개수'</v>
      </c>
    </row>
    <row r="28" spans="2:10" x14ac:dyDescent="0.4">
      <c r="B28" s="4">
        <v>4</v>
      </c>
      <c r="C28" s="1" t="s">
        <v>327</v>
      </c>
      <c r="D28" s="1" t="s">
        <v>489</v>
      </c>
      <c r="E28" s="4" t="s">
        <v>299</v>
      </c>
      <c r="F28" s="4"/>
      <c r="G28" s="1" t="s">
        <v>40</v>
      </c>
      <c r="H28" s="1" t="s">
        <v>59</v>
      </c>
      <c r="I28" s="1" t="s">
        <v>329</v>
      </c>
      <c r="J28" t="str">
        <f t="shared" si="1"/>
        <v>, FST_REG_SEQ INT NOT NULL COMMENT '최초등록자일련번호'</v>
      </c>
    </row>
    <row r="29" spans="2:10" x14ac:dyDescent="0.4">
      <c r="B29" s="4">
        <v>5</v>
      </c>
      <c r="C29" s="1" t="s">
        <v>50</v>
      </c>
      <c r="D29" s="1" t="s">
        <v>56</v>
      </c>
      <c r="E29" s="4" t="s">
        <v>49</v>
      </c>
      <c r="F29" s="4"/>
      <c r="G29" s="1" t="s">
        <v>40</v>
      </c>
      <c r="H29" s="1" t="s">
        <v>60</v>
      </c>
      <c r="I29" s="1" t="s">
        <v>56</v>
      </c>
      <c r="J29" t="str">
        <f t="shared" si="1"/>
        <v>, FST_REG_DTTI TIMESTAMP NOT NULL DEFAULT NOW() COMMENT '최초등록일시'</v>
      </c>
    </row>
    <row r="30" spans="2:10" x14ac:dyDescent="0.4">
      <c r="B30" s="4">
        <v>6</v>
      </c>
      <c r="C30" s="1" t="s">
        <v>520</v>
      </c>
      <c r="D30" s="1" t="s">
        <v>330</v>
      </c>
      <c r="E30" s="4" t="s">
        <v>299</v>
      </c>
      <c r="F30" s="4"/>
      <c r="G30" s="1" t="s">
        <v>40</v>
      </c>
      <c r="H30" s="1" t="s">
        <v>59</v>
      </c>
      <c r="I30" s="1" t="s">
        <v>330</v>
      </c>
      <c r="J30" t="str">
        <f t="shared" si="1"/>
        <v>, LST_UPD_SEQ INT NOT NULL COMMENT '최종수정자일련번호'</v>
      </c>
    </row>
    <row r="31" spans="2:10" x14ac:dyDescent="0.4">
      <c r="B31" s="4">
        <v>7</v>
      </c>
      <c r="C31" s="1" t="s">
        <v>515</v>
      </c>
      <c r="D31" s="1" t="s">
        <v>57</v>
      </c>
      <c r="E31" s="4" t="s">
        <v>49</v>
      </c>
      <c r="F31" s="4"/>
      <c r="G31" s="1" t="s">
        <v>40</v>
      </c>
      <c r="H31" s="1" t="s">
        <v>60</v>
      </c>
      <c r="I31" s="1" t="s">
        <v>57</v>
      </c>
      <c r="J31" t="str">
        <f t="shared" si="1"/>
        <v>, LST_UPD_DTTI TIMESTAMP NOT NULL DEFAULT NOW() COMMENT '최종수정일시'</v>
      </c>
    </row>
    <row r="32" spans="2:10" x14ac:dyDescent="0.4">
      <c r="J32" t="str">
        <f>_xlfn.CONCAT(") COMMENT '",E22,"';")</f>
        <v>) COMMENT '장바구니';</v>
      </c>
    </row>
    <row r="33" spans="2:10" x14ac:dyDescent="0.4">
      <c r="B33" s="6" t="s">
        <v>32</v>
      </c>
      <c r="C33" s="42" t="s">
        <v>44</v>
      </c>
      <c r="D33" s="42"/>
      <c r="E33" s="42"/>
      <c r="F33" s="42" t="s">
        <v>45</v>
      </c>
      <c r="G33" s="42"/>
      <c r="H33" s="42"/>
      <c r="I33" s="42"/>
      <c r="J33" t="str">
        <f>_xlfn.CONCAT("ALTER TABLE ",C22," ADD CONSTRAINT ",C34," PRIMARY KEY (")</f>
        <v>ALTER TABLE tb_basket ADD CONSTRAINT PK_tb_basket PRIMARY KEY (</v>
      </c>
    </row>
    <row r="34" spans="2:10" x14ac:dyDescent="0.4">
      <c r="B34" s="4">
        <v>1</v>
      </c>
      <c r="C34" s="43" t="str">
        <f>_xlfn.CONCAT("PK_",C22)</f>
        <v>PK_tb_basket</v>
      </c>
      <c r="D34" s="43"/>
      <c r="E34" s="43"/>
      <c r="F34" s="43" t="str">
        <f>C25</f>
        <v>USER_SEQ</v>
      </c>
      <c r="G34" s="43"/>
      <c r="H34" s="43"/>
      <c r="I34" s="43"/>
      <c r="J34" t="str">
        <f>_xlfn.CONCAT(IF(B34=1,"",", "),F34)</f>
        <v>USER_SEQ</v>
      </c>
    </row>
    <row r="35" spans="2:10" x14ac:dyDescent="0.4">
      <c r="B35" s="4">
        <v>2</v>
      </c>
      <c r="C35" s="43" t="str">
        <f>_xlfn.CONCAT("PK_",C22)</f>
        <v>PK_tb_basket</v>
      </c>
      <c r="D35" s="43"/>
      <c r="E35" s="43"/>
      <c r="F35" s="43" t="str">
        <f>C26</f>
        <v>ITEM_SEQ</v>
      </c>
      <c r="G35" s="43"/>
      <c r="H35" s="43"/>
      <c r="I35" s="43"/>
      <c r="J35" t="str">
        <f>_xlfn.CONCAT(IF(B35=1,"",", "),F35)</f>
        <v>, ITEM_SEQ</v>
      </c>
    </row>
    <row r="36" spans="2:10" x14ac:dyDescent="0.4">
      <c r="J36" t="str">
        <f>_xlfn.CONCAT(");")</f>
        <v>);</v>
      </c>
    </row>
    <row r="37" spans="2:10" x14ac:dyDescent="0.4">
      <c r="B37" s="38" t="s">
        <v>28</v>
      </c>
      <c r="C37" s="39"/>
      <c r="D37" s="39"/>
      <c r="E37" s="39"/>
      <c r="F37" s="39"/>
      <c r="G37" s="39"/>
      <c r="H37" s="39"/>
      <c r="I37" s="40"/>
    </row>
    <row r="38" spans="2:10" x14ac:dyDescent="0.4">
      <c r="B38" s="6" t="s">
        <v>1</v>
      </c>
      <c r="C38" s="4" t="s">
        <v>881</v>
      </c>
      <c r="D38" s="6" t="s">
        <v>3</v>
      </c>
      <c r="E38" s="4" t="s">
        <v>478</v>
      </c>
      <c r="F38" s="6" t="s">
        <v>29</v>
      </c>
      <c r="G38" s="4" t="s">
        <v>38</v>
      </c>
      <c r="H38" s="6" t="s">
        <v>30</v>
      </c>
      <c r="I38" s="7">
        <v>45404</v>
      </c>
      <c r="J38" t="str">
        <f>_xlfn.CONCAT("DROP TABLE IF EXISTS ",C38,";")</f>
        <v>DROP TABLE IF EXISTS tb_order;</v>
      </c>
    </row>
    <row r="39" spans="2:10" x14ac:dyDescent="0.4">
      <c r="B39" s="6" t="s">
        <v>31</v>
      </c>
      <c r="C39" s="41" t="s">
        <v>479</v>
      </c>
      <c r="D39" s="41"/>
      <c r="E39" s="41"/>
      <c r="F39" s="41"/>
      <c r="G39" s="41"/>
      <c r="H39" s="41"/>
      <c r="I39" s="41"/>
      <c r="J39" t="str">
        <f>_xlfn.CONCAT("CREATE TABLE ",C38)</f>
        <v>CREATE TABLE tb_order</v>
      </c>
    </row>
    <row r="40" spans="2:10" x14ac:dyDescent="0.4">
      <c r="B40" s="6" t="s">
        <v>32</v>
      </c>
      <c r="C40" s="6" t="s">
        <v>1</v>
      </c>
      <c r="D40" s="6" t="s">
        <v>3</v>
      </c>
      <c r="E40" s="6" t="s">
        <v>33</v>
      </c>
      <c r="F40" s="6" t="s">
        <v>34</v>
      </c>
      <c r="G40" s="6" t="s">
        <v>35</v>
      </c>
      <c r="H40" s="6" t="s">
        <v>22</v>
      </c>
      <c r="I40" s="6" t="s">
        <v>36</v>
      </c>
      <c r="J40" t="str">
        <f>_xlfn.CONCAT("(")</f>
        <v>(</v>
      </c>
    </row>
    <row r="41" spans="2:10" x14ac:dyDescent="0.4">
      <c r="B41" s="4">
        <v>1</v>
      </c>
      <c r="C41" s="1" t="s">
        <v>846</v>
      </c>
      <c r="D41" s="1" t="s">
        <v>847</v>
      </c>
      <c r="E41" s="4" t="s">
        <v>299</v>
      </c>
      <c r="F41" s="4">
        <v>1</v>
      </c>
      <c r="G41" s="1" t="s">
        <v>40</v>
      </c>
      <c r="H41" s="1" t="s">
        <v>326</v>
      </c>
      <c r="I41" s="1" t="s">
        <v>847</v>
      </c>
      <c r="J41" t="str">
        <f>_xlfn.CONCAT(IF(B41=1,"",", "),C41," ",E41," ",G41,_xlfn.IFS(H41="","",H41="AUTO_INCREMENT"," AUTO_INCREMENT PRIMARY KEY",TRUE,_xlfn.CONCAT(" DEFAULT"," ",H41)), " COMMENT '",I41,"'")</f>
        <v>ORDER_SEQ INT NOT NULL AUTO_INCREMENT PRIMARY KEY COMMENT '주문일련번호'</v>
      </c>
    </row>
    <row r="42" spans="2:10" x14ac:dyDescent="0.4">
      <c r="B42" s="4">
        <v>2</v>
      </c>
      <c r="C42" s="1" t="s">
        <v>324</v>
      </c>
      <c r="D42" s="1" t="s">
        <v>325</v>
      </c>
      <c r="E42" s="4" t="s">
        <v>299</v>
      </c>
      <c r="F42" s="4"/>
      <c r="G42" s="1" t="s">
        <v>43</v>
      </c>
      <c r="H42" s="1"/>
      <c r="I42" s="1" t="s">
        <v>325</v>
      </c>
      <c r="J42" t="str">
        <f t="shared" ref="J42:J52" si="2">_xlfn.CONCAT(IF(B42=1,"",", "),C42," ",E42," ",G42,_xlfn.IFS(H42="","",H42="AUTO_INCREMENT"," AUTO_INCREMENT PRIMARY KEY",TRUE,_xlfn.CONCAT(" DEFAULT"," ",H42)), " COMMENT '",I42,"'")</f>
        <v>, USER_SEQ INT NULL COMMENT '사용자일련번호'</v>
      </c>
    </row>
    <row r="43" spans="2:10" x14ac:dyDescent="0.4">
      <c r="B43" s="4">
        <v>3</v>
      </c>
      <c r="C43" s="1" t="s">
        <v>316</v>
      </c>
      <c r="D43" s="1" t="s">
        <v>317</v>
      </c>
      <c r="E43" s="4" t="s">
        <v>299</v>
      </c>
      <c r="F43" s="4"/>
      <c r="G43" s="1" t="s">
        <v>43</v>
      </c>
      <c r="H43" s="1" t="s">
        <v>59</v>
      </c>
      <c r="I43" s="1" t="s">
        <v>317</v>
      </c>
      <c r="J43" t="str">
        <f t="shared" si="2"/>
        <v>, ITEM_SEQ INT NULL COMMENT '상품일련번호'</v>
      </c>
    </row>
    <row r="44" spans="2:10" x14ac:dyDescent="0.4">
      <c r="B44" s="4">
        <v>4</v>
      </c>
      <c r="C44" s="1" t="s">
        <v>297</v>
      </c>
      <c r="D44" s="1" t="s">
        <v>298</v>
      </c>
      <c r="E44" s="4" t="s">
        <v>299</v>
      </c>
      <c r="F44" s="4"/>
      <c r="G44" s="1" t="s">
        <v>43</v>
      </c>
      <c r="H44" s="1"/>
      <c r="I44" s="1" t="s">
        <v>484</v>
      </c>
      <c r="J44" t="str">
        <f t="shared" si="2"/>
        <v>, PRICE INT NULL COMMENT '상품 1개 판매 가격'</v>
      </c>
    </row>
    <row r="45" spans="2:10" x14ac:dyDescent="0.4">
      <c r="B45" s="4">
        <v>5</v>
      </c>
      <c r="C45" s="1" t="s">
        <v>301</v>
      </c>
      <c r="D45" s="1" t="s">
        <v>323</v>
      </c>
      <c r="E45" s="4" t="s">
        <v>299</v>
      </c>
      <c r="F45" s="4"/>
      <c r="G45" s="1" t="s">
        <v>43</v>
      </c>
      <c r="H45" s="1" t="s">
        <v>59</v>
      </c>
      <c r="I45" s="1" t="s">
        <v>323</v>
      </c>
      <c r="J45" t="str">
        <f t="shared" si="2"/>
        <v>, CNT INT NULL COMMENT '개수'</v>
      </c>
    </row>
    <row r="46" spans="2:10" x14ac:dyDescent="0.4">
      <c r="B46" s="4">
        <v>6</v>
      </c>
      <c r="C46" s="1" t="s">
        <v>483</v>
      </c>
      <c r="D46" s="1" t="s">
        <v>482</v>
      </c>
      <c r="E46" s="4" t="s">
        <v>48</v>
      </c>
      <c r="F46" s="4"/>
      <c r="G46" s="1" t="s">
        <v>43</v>
      </c>
      <c r="H46" s="8" t="s">
        <v>304</v>
      </c>
      <c r="I46" s="1" t="s">
        <v>957</v>
      </c>
      <c r="J46" t="str">
        <f t="shared" si="2"/>
        <v>, ORDER_STATUS_CODE VARCHAR(2) NULL DEFAULT '01' COMMENT '주문상태코드(01:구매요청, 02:배송중, 03:미결제, 04:송금완료, 11:구매완료, 12:품절, 91:취소)'</v>
      </c>
    </row>
    <row r="47" spans="2:10" x14ac:dyDescent="0.4">
      <c r="B47" s="4">
        <v>7</v>
      </c>
      <c r="C47" s="1" t="s">
        <v>852</v>
      </c>
      <c r="D47" s="1" t="s">
        <v>853</v>
      </c>
      <c r="E47" s="4" t="s">
        <v>49</v>
      </c>
      <c r="F47" s="4"/>
      <c r="G47" s="1" t="s">
        <v>43</v>
      </c>
      <c r="H47" s="8"/>
      <c r="I47" s="1" t="s">
        <v>853</v>
      </c>
      <c r="J47" t="str">
        <f t="shared" si="2"/>
        <v>, ORDER_DTTI TIMESTAMP NULL COMMENT '주문일시'</v>
      </c>
    </row>
    <row r="48" spans="2:10" x14ac:dyDescent="0.4">
      <c r="B48" s="4">
        <v>8</v>
      </c>
      <c r="C48" s="1" t="s">
        <v>827</v>
      </c>
      <c r="D48" s="1" t="s">
        <v>828</v>
      </c>
      <c r="E48" s="4" t="s">
        <v>189</v>
      </c>
      <c r="F48" s="4"/>
      <c r="G48" s="1" t="s">
        <v>43</v>
      </c>
      <c r="H48" s="1" t="s">
        <v>59</v>
      </c>
      <c r="I48" s="1" t="s">
        <v>828</v>
      </c>
      <c r="J48" t="str">
        <f t="shared" si="2"/>
        <v>, ORDER_STATUS_DTL VARCHAR(3000) NULL COMMENT '주문상태상세'</v>
      </c>
    </row>
    <row r="49" spans="2:10" x14ac:dyDescent="0.4">
      <c r="B49" s="4">
        <v>9</v>
      </c>
      <c r="C49" s="1" t="s">
        <v>327</v>
      </c>
      <c r="D49" s="1" t="s">
        <v>489</v>
      </c>
      <c r="E49" s="4" t="s">
        <v>299</v>
      </c>
      <c r="F49" s="4"/>
      <c r="G49" s="1" t="s">
        <v>40</v>
      </c>
      <c r="H49" s="1" t="s">
        <v>59</v>
      </c>
      <c r="I49" s="1" t="s">
        <v>329</v>
      </c>
      <c r="J49" t="str">
        <f t="shared" si="2"/>
        <v>, FST_REG_SEQ INT NOT NULL COMMENT '최초등록자일련번호'</v>
      </c>
    </row>
    <row r="50" spans="2:10" x14ac:dyDescent="0.4">
      <c r="B50" s="4">
        <v>10</v>
      </c>
      <c r="C50" s="1" t="s">
        <v>50</v>
      </c>
      <c r="D50" s="1" t="s">
        <v>56</v>
      </c>
      <c r="E50" s="4" t="s">
        <v>49</v>
      </c>
      <c r="F50" s="4"/>
      <c r="G50" s="1" t="s">
        <v>40</v>
      </c>
      <c r="H50" s="1" t="s">
        <v>60</v>
      </c>
      <c r="I50" s="1" t="s">
        <v>56</v>
      </c>
      <c r="J50" t="str">
        <f t="shared" si="2"/>
        <v>, FST_REG_DTTI TIMESTAMP NOT NULL DEFAULT NOW() COMMENT '최초등록일시'</v>
      </c>
    </row>
    <row r="51" spans="2:10" x14ac:dyDescent="0.4">
      <c r="B51" s="4">
        <v>11</v>
      </c>
      <c r="C51" s="1" t="s">
        <v>520</v>
      </c>
      <c r="D51" s="1" t="s">
        <v>330</v>
      </c>
      <c r="E51" s="4" t="s">
        <v>299</v>
      </c>
      <c r="F51" s="4"/>
      <c r="G51" s="1" t="s">
        <v>40</v>
      </c>
      <c r="H51" s="1" t="s">
        <v>59</v>
      </c>
      <c r="I51" s="1" t="s">
        <v>330</v>
      </c>
      <c r="J51" t="str">
        <f t="shared" si="2"/>
        <v>, LST_UPD_SEQ INT NOT NULL COMMENT '최종수정자일련번호'</v>
      </c>
    </row>
    <row r="52" spans="2:10" x14ac:dyDescent="0.4">
      <c r="B52" s="4">
        <v>12</v>
      </c>
      <c r="C52" s="1" t="s">
        <v>515</v>
      </c>
      <c r="D52" s="1" t="s">
        <v>57</v>
      </c>
      <c r="E52" s="4" t="s">
        <v>49</v>
      </c>
      <c r="F52" s="4"/>
      <c r="G52" s="1" t="s">
        <v>40</v>
      </c>
      <c r="H52" s="1" t="s">
        <v>60</v>
      </c>
      <c r="I52" s="1" t="s">
        <v>57</v>
      </c>
      <c r="J52" t="str">
        <f t="shared" si="2"/>
        <v>, LST_UPD_DTTI TIMESTAMP NOT NULL DEFAULT NOW() COMMENT '최종수정일시'</v>
      </c>
    </row>
    <row r="53" spans="2:10" x14ac:dyDescent="0.4">
      <c r="J53" t="str">
        <f>_xlfn.CONCAT(") COMMENT '",E38,"';")</f>
        <v>) COMMENT '주문';</v>
      </c>
    </row>
    <row r="54" spans="2:10" x14ac:dyDescent="0.4">
      <c r="B54" s="38" t="s">
        <v>28</v>
      </c>
      <c r="C54" s="39"/>
      <c r="D54" s="39"/>
      <c r="E54" s="39"/>
      <c r="F54" s="39"/>
      <c r="G54" s="39"/>
      <c r="H54" s="39"/>
      <c r="I54" s="40"/>
    </row>
    <row r="55" spans="2:10" x14ac:dyDescent="0.4">
      <c r="B55" s="6" t="s">
        <v>1</v>
      </c>
      <c r="C55" s="4" t="s">
        <v>882</v>
      </c>
      <c r="D55" s="6" t="s">
        <v>3</v>
      </c>
      <c r="E55" s="4" t="s">
        <v>858</v>
      </c>
      <c r="F55" s="6" t="s">
        <v>29</v>
      </c>
      <c r="G55" s="4" t="s">
        <v>38</v>
      </c>
      <c r="H55" s="6" t="s">
        <v>30</v>
      </c>
      <c r="I55" s="7">
        <v>45404</v>
      </c>
      <c r="J55" t="str">
        <f>_xlfn.CONCAT("DROP TABLE IF EXISTS ",C55,";")</f>
        <v>DROP TABLE IF EXISTS tb_new_order;</v>
      </c>
    </row>
    <row r="56" spans="2:10" x14ac:dyDescent="0.4">
      <c r="B56" s="6" t="s">
        <v>31</v>
      </c>
      <c r="C56" s="41" t="s">
        <v>859</v>
      </c>
      <c r="D56" s="41"/>
      <c r="E56" s="41"/>
      <c r="F56" s="41"/>
      <c r="G56" s="41"/>
      <c r="H56" s="41"/>
      <c r="I56" s="41"/>
      <c r="J56" t="str">
        <f>_xlfn.CONCAT("CREATE TABLE ",C55)</f>
        <v>CREATE TABLE tb_new_order</v>
      </c>
    </row>
    <row r="57" spans="2:10" x14ac:dyDescent="0.4">
      <c r="B57" s="6" t="s">
        <v>32</v>
      </c>
      <c r="C57" s="6" t="s">
        <v>1</v>
      </c>
      <c r="D57" s="6" t="s">
        <v>3</v>
      </c>
      <c r="E57" s="6" t="s">
        <v>33</v>
      </c>
      <c r="F57" s="6" t="s">
        <v>34</v>
      </c>
      <c r="G57" s="6" t="s">
        <v>35</v>
      </c>
      <c r="H57" s="6" t="s">
        <v>22</v>
      </c>
      <c r="I57" s="6" t="s">
        <v>36</v>
      </c>
      <c r="J57" t="str">
        <f>_xlfn.CONCAT("(")</f>
        <v>(</v>
      </c>
    </row>
    <row r="58" spans="2:10" x14ac:dyDescent="0.4">
      <c r="B58" s="4">
        <v>1</v>
      </c>
      <c r="C58" s="1" t="s">
        <v>860</v>
      </c>
      <c r="D58" s="1" t="s">
        <v>861</v>
      </c>
      <c r="E58" s="4" t="s">
        <v>299</v>
      </c>
      <c r="F58" s="4">
        <v>1</v>
      </c>
      <c r="G58" s="1" t="s">
        <v>40</v>
      </c>
      <c r="H58" s="1" t="s">
        <v>326</v>
      </c>
      <c r="I58" s="1" t="s">
        <v>861</v>
      </c>
      <c r="J58" t="str">
        <f>_xlfn.CONCAT(IF(B58=1,"",", "),C58," ",E58," ",G58,_xlfn.IFS(H58="","",H58="AUTO_INCREMENT"," AUTO_INCREMENT PRIMARY KEY",TRUE,_xlfn.CONCAT(" DEFAULT"," ",H58)), " COMMENT '",I58,"'")</f>
        <v>NEW_ORDER_SEQ INT NOT NULL AUTO_INCREMENT PRIMARY KEY COMMENT '신규상품주문일련번호'</v>
      </c>
    </row>
    <row r="59" spans="2:10" x14ac:dyDescent="0.4">
      <c r="B59" s="4">
        <v>2</v>
      </c>
      <c r="C59" s="1" t="s">
        <v>324</v>
      </c>
      <c r="D59" s="1" t="s">
        <v>325</v>
      </c>
      <c r="E59" s="4" t="s">
        <v>299</v>
      </c>
      <c r="F59" s="4"/>
      <c r="G59" s="1" t="s">
        <v>43</v>
      </c>
      <c r="H59" s="1"/>
      <c r="I59" s="1" t="s">
        <v>325</v>
      </c>
      <c r="J59" t="str">
        <f t="shared" ref="J59:J71" si="3">_xlfn.CONCAT(IF(B59=1,"",", "),C59," ",E59," ",G59,_xlfn.IFS(H59="","",H59="AUTO_INCREMENT"," AUTO_INCREMENT PRIMARY KEY",TRUE,_xlfn.CONCAT(" DEFAULT"," ",H59)), " COMMENT '",I59,"'")</f>
        <v>, USER_SEQ INT NULL COMMENT '사용자일련번호'</v>
      </c>
    </row>
    <row r="60" spans="2:10" x14ac:dyDescent="0.4">
      <c r="B60" s="4">
        <v>3</v>
      </c>
      <c r="C60" s="1" t="s">
        <v>318</v>
      </c>
      <c r="D60" s="1" t="s">
        <v>300</v>
      </c>
      <c r="E60" s="4" t="s">
        <v>241</v>
      </c>
      <c r="F60" s="4"/>
      <c r="G60" s="1" t="s">
        <v>43</v>
      </c>
      <c r="H60" s="1"/>
      <c r="I60" s="1" t="s">
        <v>300</v>
      </c>
      <c r="J60" t="str">
        <f t="shared" si="3"/>
        <v>, ITEM_NM VARCHAR(300) NULL COMMENT '상품명'</v>
      </c>
    </row>
    <row r="61" spans="2:10" x14ac:dyDescent="0.4">
      <c r="B61" s="4">
        <v>4</v>
      </c>
      <c r="C61" s="1" t="s">
        <v>319</v>
      </c>
      <c r="D61" s="1" t="s">
        <v>320</v>
      </c>
      <c r="E61" s="4" t="s">
        <v>169</v>
      </c>
      <c r="F61" s="4"/>
      <c r="G61" s="1"/>
      <c r="H61" s="1"/>
      <c r="I61" s="1" t="s">
        <v>321</v>
      </c>
      <c r="J61" t="str">
        <f t="shared" si="3"/>
        <v>, IMG VARCHAR(100)  COMMENT '이미지 파일명'</v>
      </c>
    </row>
    <row r="62" spans="2:10" x14ac:dyDescent="0.4">
      <c r="B62" s="4">
        <v>5</v>
      </c>
      <c r="C62" s="1" t="s">
        <v>297</v>
      </c>
      <c r="D62" s="1" t="s">
        <v>298</v>
      </c>
      <c r="E62" s="4" t="s">
        <v>299</v>
      </c>
      <c r="F62" s="4"/>
      <c r="G62" s="1" t="s">
        <v>43</v>
      </c>
      <c r="H62" s="1"/>
      <c r="I62" s="1" t="s">
        <v>484</v>
      </c>
      <c r="J62" t="str">
        <f t="shared" si="3"/>
        <v>, PRICE INT NULL COMMENT '상품 1개 판매 가격'</v>
      </c>
    </row>
    <row r="63" spans="2:10" x14ac:dyDescent="0.4">
      <c r="B63" s="4">
        <v>6</v>
      </c>
      <c r="C63" s="1" t="s">
        <v>301</v>
      </c>
      <c r="D63" s="1" t="s">
        <v>323</v>
      </c>
      <c r="E63" s="4" t="s">
        <v>299</v>
      </c>
      <c r="F63" s="4"/>
      <c r="G63" s="1" t="s">
        <v>43</v>
      </c>
      <c r="H63" s="1" t="s">
        <v>59</v>
      </c>
      <c r="I63" s="1" t="s">
        <v>323</v>
      </c>
      <c r="J63" t="str">
        <f t="shared" si="3"/>
        <v>, CNT INT NULL COMMENT '개수'</v>
      </c>
    </row>
    <row r="64" spans="2:10" x14ac:dyDescent="0.4">
      <c r="B64" s="4">
        <v>7</v>
      </c>
      <c r="C64" s="1" t="s">
        <v>862</v>
      </c>
      <c r="D64" s="1" t="s">
        <v>863</v>
      </c>
      <c r="E64" s="4" t="s">
        <v>983</v>
      </c>
      <c r="F64" s="4"/>
      <c r="G64" s="1" t="s">
        <v>43</v>
      </c>
      <c r="H64" s="1"/>
      <c r="I64" s="1" t="s">
        <v>864</v>
      </c>
      <c r="J64" t="str">
        <f>_xlfn.CONCAT(IF(B64=1,"",", "),C64," ",E64," ",G64,_xlfn.IFS(H64="","",H64="AUTO_INCREMENT"," AUTO_INCREMENT PRIMARY KEY",TRUE,_xlfn.CONCAT(" DEFAULT"," ",H64)), " COMMENT '",I64,"'")</f>
        <v>, NEW_ORDER_DTL VARCHAR(1000) NULL COMMENT '신규상품주문상세 설명'</v>
      </c>
    </row>
    <row r="65" spans="2:10" x14ac:dyDescent="0.4">
      <c r="B65" s="4">
        <v>8</v>
      </c>
      <c r="C65" s="1" t="s">
        <v>483</v>
      </c>
      <c r="D65" s="1" t="s">
        <v>482</v>
      </c>
      <c r="E65" s="4" t="s">
        <v>48</v>
      </c>
      <c r="F65" s="4"/>
      <c r="G65" s="1" t="s">
        <v>43</v>
      </c>
      <c r="H65" s="8" t="s">
        <v>304</v>
      </c>
      <c r="I65" s="1" t="s">
        <v>957</v>
      </c>
      <c r="J65" t="str">
        <f t="shared" si="3"/>
        <v>, ORDER_STATUS_CODE VARCHAR(2) NULL DEFAULT '01' COMMENT '주문상태코드(01:구매요청, 02:배송중, 03:미결제, 04:송금완료, 11:구매완료, 12:품절, 91:취소)'</v>
      </c>
    </row>
    <row r="66" spans="2:10" x14ac:dyDescent="0.4">
      <c r="B66" s="4">
        <v>9</v>
      </c>
      <c r="C66" s="1" t="s">
        <v>852</v>
      </c>
      <c r="D66" s="1" t="s">
        <v>853</v>
      </c>
      <c r="E66" s="4" t="s">
        <v>49</v>
      </c>
      <c r="F66" s="4"/>
      <c r="G66" s="1" t="s">
        <v>43</v>
      </c>
      <c r="H66" s="8"/>
      <c r="I66" s="1" t="s">
        <v>853</v>
      </c>
      <c r="J66" t="str">
        <f t="shared" si="3"/>
        <v>, ORDER_DTTI TIMESTAMP NULL COMMENT '주문일시'</v>
      </c>
    </row>
    <row r="67" spans="2:10" x14ac:dyDescent="0.4">
      <c r="B67" s="4">
        <v>10</v>
      </c>
      <c r="C67" s="1" t="s">
        <v>827</v>
      </c>
      <c r="D67" s="1" t="s">
        <v>828</v>
      </c>
      <c r="E67" s="4" t="s">
        <v>983</v>
      </c>
      <c r="F67" s="4"/>
      <c r="G67" s="1" t="s">
        <v>43</v>
      </c>
      <c r="H67" s="1" t="s">
        <v>59</v>
      </c>
      <c r="I67" s="1" t="s">
        <v>828</v>
      </c>
      <c r="J67" t="str">
        <f t="shared" si="3"/>
        <v>, ORDER_STATUS_DTL VARCHAR(1000) NULL COMMENT '주문상태상세'</v>
      </c>
    </row>
    <row r="68" spans="2:10" x14ac:dyDescent="0.4">
      <c r="B68" s="4">
        <v>11</v>
      </c>
      <c r="C68" s="1" t="s">
        <v>327</v>
      </c>
      <c r="D68" s="1" t="s">
        <v>489</v>
      </c>
      <c r="E68" s="4" t="s">
        <v>299</v>
      </c>
      <c r="F68" s="4"/>
      <c r="G68" s="1" t="s">
        <v>40</v>
      </c>
      <c r="H68" s="1" t="s">
        <v>59</v>
      </c>
      <c r="I68" s="1" t="s">
        <v>329</v>
      </c>
      <c r="J68" t="str">
        <f t="shared" si="3"/>
        <v>, FST_REG_SEQ INT NOT NULL COMMENT '최초등록자일련번호'</v>
      </c>
    </row>
    <row r="69" spans="2:10" x14ac:dyDescent="0.4">
      <c r="B69" s="4">
        <v>12</v>
      </c>
      <c r="C69" s="1" t="s">
        <v>50</v>
      </c>
      <c r="D69" s="1" t="s">
        <v>56</v>
      </c>
      <c r="E69" s="4" t="s">
        <v>49</v>
      </c>
      <c r="F69" s="4"/>
      <c r="G69" s="1" t="s">
        <v>40</v>
      </c>
      <c r="H69" s="1" t="s">
        <v>60</v>
      </c>
      <c r="I69" s="1" t="s">
        <v>56</v>
      </c>
      <c r="J69" t="str">
        <f t="shared" si="3"/>
        <v>, FST_REG_DTTI TIMESTAMP NOT NULL DEFAULT NOW() COMMENT '최초등록일시'</v>
      </c>
    </row>
    <row r="70" spans="2:10" x14ac:dyDescent="0.4">
      <c r="B70" s="4">
        <v>13</v>
      </c>
      <c r="C70" s="1" t="s">
        <v>520</v>
      </c>
      <c r="D70" s="1" t="s">
        <v>330</v>
      </c>
      <c r="E70" s="4" t="s">
        <v>299</v>
      </c>
      <c r="F70" s="4"/>
      <c r="G70" s="1" t="s">
        <v>40</v>
      </c>
      <c r="H70" s="1" t="s">
        <v>59</v>
      </c>
      <c r="I70" s="1" t="s">
        <v>330</v>
      </c>
      <c r="J70" t="str">
        <f t="shared" si="3"/>
        <v>, LST_UPD_SEQ INT NOT NULL COMMENT '최종수정자일련번호'</v>
      </c>
    </row>
    <row r="71" spans="2:10" x14ac:dyDescent="0.4">
      <c r="B71" s="4">
        <v>14</v>
      </c>
      <c r="C71" s="1" t="s">
        <v>515</v>
      </c>
      <c r="D71" s="1" t="s">
        <v>57</v>
      </c>
      <c r="E71" s="4" t="s">
        <v>49</v>
      </c>
      <c r="F71" s="4"/>
      <c r="G71" s="1" t="s">
        <v>40</v>
      </c>
      <c r="H71" s="1" t="s">
        <v>60</v>
      </c>
      <c r="I71" s="1" t="s">
        <v>57</v>
      </c>
      <c r="J71" t="str">
        <f t="shared" si="3"/>
        <v>, LST_UPD_DTTI TIMESTAMP NOT NULL DEFAULT NOW() COMMENT '최종수정일시'</v>
      </c>
    </row>
    <row r="72" spans="2:10" x14ac:dyDescent="0.4">
      <c r="J72" t="str">
        <f>_xlfn.CONCAT(") COMMENT '",E55,"';")</f>
        <v>) COMMENT '신규상품주문';</v>
      </c>
    </row>
  </sheetData>
  <mergeCells count="14">
    <mergeCell ref="C56:I56"/>
    <mergeCell ref="B2:I2"/>
    <mergeCell ref="C4:I4"/>
    <mergeCell ref="B21:I21"/>
    <mergeCell ref="C23:I23"/>
    <mergeCell ref="B54:I54"/>
    <mergeCell ref="B37:I37"/>
    <mergeCell ref="C39:I39"/>
    <mergeCell ref="C33:E33"/>
    <mergeCell ref="F33:I33"/>
    <mergeCell ref="C34:E34"/>
    <mergeCell ref="F34:I34"/>
    <mergeCell ref="C35:E35"/>
    <mergeCell ref="F35:I3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46E8-EBD3-49BD-80EC-225302354102}">
  <dimension ref="B2:AA162"/>
  <sheetViews>
    <sheetView topLeftCell="A23" zoomScale="85" zoomScaleNormal="85" workbookViewId="0">
      <selection activeCell="A36" sqref="A29:XFD36"/>
    </sheetView>
  </sheetViews>
  <sheetFormatPr defaultRowHeight="17.399999999999999" x14ac:dyDescent="0.4"/>
  <cols>
    <col min="1" max="1" width="3.19921875" customWidth="1"/>
    <col min="2" max="2" width="10.59765625" bestFit="1" customWidth="1"/>
    <col min="3" max="3" width="42.8984375" bestFit="1" customWidth="1"/>
    <col min="4" max="4" width="53.19921875" bestFit="1" customWidth="1"/>
    <col min="5" max="5" width="26.09765625" bestFit="1" customWidth="1"/>
    <col min="6" max="6" width="40.5" bestFit="1" customWidth="1"/>
    <col min="7" max="7" width="26.09765625" bestFit="1" customWidth="1"/>
    <col min="8" max="8" width="16.59765625" bestFit="1" customWidth="1"/>
    <col min="9" max="9" width="23.5" bestFit="1" customWidth="1"/>
    <col min="10" max="10" width="20.59765625" bestFit="1" customWidth="1"/>
    <col min="11" max="11" width="18.5" style="11" bestFit="1" customWidth="1"/>
    <col min="12" max="12" width="16.59765625" style="11" bestFit="1" customWidth="1"/>
    <col min="13" max="15" width="16.59765625" style="11" customWidth="1"/>
    <col min="16" max="26" width="12.5" hidden="1" customWidth="1"/>
    <col min="27" max="27" width="196.19921875" bestFit="1" customWidth="1"/>
  </cols>
  <sheetData>
    <row r="2" spans="2:27" x14ac:dyDescent="0.4">
      <c r="B2" s="10" t="s">
        <v>135</v>
      </c>
      <c r="C2" s="43" t="s">
        <v>873</v>
      </c>
      <c r="D2" s="43"/>
      <c r="E2" s="43"/>
      <c r="F2" s="43"/>
      <c r="G2" s="43"/>
      <c r="H2" s="43"/>
      <c r="I2" s="11"/>
    </row>
    <row r="3" spans="2:27" x14ac:dyDescent="0.4">
      <c r="B3" s="10" t="s">
        <v>1</v>
      </c>
      <c r="C3" s="5" t="s">
        <v>128</v>
      </c>
      <c r="D3" s="5" t="s">
        <v>123</v>
      </c>
      <c r="E3" s="5" t="s">
        <v>192</v>
      </c>
      <c r="F3" s="5" t="s">
        <v>244</v>
      </c>
      <c r="G3" s="5" t="s">
        <v>327</v>
      </c>
      <c r="H3" s="5" t="s">
        <v>520</v>
      </c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4" t="str">
        <f>_xlfn.CONCAT("TRUNCATE ",C2,";")</f>
        <v>TRUNCATE tb_poli;</v>
      </c>
    </row>
    <row r="4" spans="2:27" x14ac:dyDescent="0.4">
      <c r="B4" s="10" t="s">
        <v>3</v>
      </c>
      <c r="C4" s="5" t="s">
        <v>129</v>
      </c>
      <c r="D4" s="5" t="s">
        <v>124</v>
      </c>
      <c r="E4" s="5" t="s">
        <v>125</v>
      </c>
      <c r="F4" s="5" t="s">
        <v>52</v>
      </c>
      <c r="G4" s="5" t="s">
        <v>329</v>
      </c>
      <c r="H4" s="5" t="s">
        <v>330</v>
      </c>
      <c r="J4" s="11"/>
      <c r="R4" s="12"/>
      <c r="S4" s="12"/>
      <c r="T4" s="12"/>
      <c r="U4" s="12"/>
      <c r="V4" s="12"/>
      <c r="W4" s="12"/>
      <c r="X4" s="12"/>
      <c r="Y4" s="12"/>
      <c r="Z4" s="12"/>
      <c r="AA4" t="str">
        <f>_xlfn.CONCAT("INSERT INTO ",C2, "(", _xlfn.TEXTJOIN(",",TRUE,C3:Z3),") VALUES")</f>
        <v>INSERT INTO tb_poli(POLI_CODE,POLI_NM,POLI_VAL,RMRK,FST_REG_SEQ,LST_UPD_SEQ) VALUES</v>
      </c>
    </row>
    <row r="5" spans="2:27" x14ac:dyDescent="0.4">
      <c r="B5" s="1">
        <v>1</v>
      </c>
      <c r="C5" s="8" t="s">
        <v>136</v>
      </c>
      <c r="D5" s="1" t="s">
        <v>137</v>
      </c>
      <c r="E5" s="1">
        <v>5</v>
      </c>
      <c r="F5" s="8" t="s">
        <v>138</v>
      </c>
      <c r="G5" s="1">
        <v>1</v>
      </c>
      <c r="H5" s="1">
        <v>1</v>
      </c>
      <c r="J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t="str">
        <f>_xlfn.CONCAT(IF(B5=1,"",","),"(",_xlfn.TEXTJOIN(",",TRUE,C5:Z5),")")</f>
        <v>("01","PW_ERR_CNT_LIM",5,"비밀번호 오입력 횟수 제한",1,1)</v>
      </c>
    </row>
    <row r="6" spans="2:27" x14ac:dyDescent="0.4">
      <c r="B6" s="1">
        <v>2</v>
      </c>
      <c r="C6" s="8" t="s">
        <v>136</v>
      </c>
      <c r="D6" s="1" t="s">
        <v>139</v>
      </c>
      <c r="E6" s="1">
        <v>7200</v>
      </c>
      <c r="F6" s="1" t="s">
        <v>140</v>
      </c>
      <c r="G6" s="1">
        <v>1</v>
      </c>
      <c r="H6" s="1">
        <v>1</v>
      </c>
      <c r="J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t="str">
        <f>_xlfn.CONCAT(IF(B6=1,"",","),"(",_xlfn.TEXTJOIN(",",TRUE,C6:Z6),")")</f>
        <v>,("01","SESSION_TIME",7200,"세션유지시간(초단위)",1,1)</v>
      </c>
    </row>
    <row r="7" spans="2:27" x14ac:dyDescent="0.4">
      <c r="B7" s="1">
        <v>3</v>
      </c>
      <c r="C7" s="8" t="s">
        <v>136</v>
      </c>
      <c r="D7" s="1" t="s">
        <v>141</v>
      </c>
      <c r="E7" s="1">
        <v>90</v>
      </c>
      <c r="F7" s="1" t="s">
        <v>142</v>
      </c>
      <c r="G7" s="1">
        <v>1</v>
      </c>
      <c r="H7" s="1">
        <v>1</v>
      </c>
      <c r="J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t="str">
        <f>_xlfn.CONCAT(IF(B7=1,"",","),"(",_xlfn.TEXTJOIN(",",TRUE,C7:Z7),")")</f>
        <v>,("01","PSWD_LIM_DAYS",90,"비밀번호 변경 주기(일)",1,1)</v>
      </c>
    </row>
    <row r="8" spans="2:27" x14ac:dyDescent="0.4">
      <c r="AA8" t="s">
        <v>143</v>
      </c>
    </row>
    <row r="9" spans="2:27" x14ac:dyDescent="0.4">
      <c r="B9" s="15" t="s">
        <v>135</v>
      </c>
      <c r="C9" s="43" t="s">
        <v>867</v>
      </c>
      <c r="D9" s="43"/>
      <c r="E9" s="43"/>
      <c r="F9" s="43"/>
    </row>
    <row r="10" spans="2:27" x14ac:dyDescent="0.4">
      <c r="B10" s="10" t="s">
        <v>1</v>
      </c>
      <c r="C10" s="5" t="s">
        <v>67</v>
      </c>
      <c r="D10" s="5" t="s">
        <v>63</v>
      </c>
      <c r="E10" s="5" t="s">
        <v>327</v>
      </c>
      <c r="F10" s="5" t="s">
        <v>520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4" t="str">
        <f>_xlfn.CONCAT("TRUNCATE ",C9,";")</f>
        <v>TRUNCATE tb_code_group;</v>
      </c>
    </row>
    <row r="11" spans="2:27" x14ac:dyDescent="0.4">
      <c r="B11" s="10" t="s">
        <v>3</v>
      </c>
      <c r="C11" s="16" t="s">
        <v>81</v>
      </c>
      <c r="D11" s="16" t="s">
        <v>82</v>
      </c>
      <c r="E11" s="16" t="s">
        <v>329</v>
      </c>
      <c r="F11" s="16" t="s">
        <v>330</v>
      </c>
      <c r="I11" s="12"/>
      <c r="J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t="str">
        <f>_xlfn.CONCAT("INSERT INTO ",C9, "(", _xlfn.TEXTJOIN(",",TRUE,C10:Z10),") VALUES")</f>
        <v>INSERT INTO tb_code_group(CODE_GROUP,CODE_GROUP_NM,FST_REG_SEQ,LST_UPD_SEQ) VALUES</v>
      </c>
    </row>
    <row r="12" spans="2:27" x14ac:dyDescent="0.4">
      <c r="B12" s="1">
        <v>1</v>
      </c>
      <c r="C12" s="1" t="s">
        <v>144</v>
      </c>
      <c r="D12" s="8" t="s">
        <v>835</v>
      </c>
      <c r="E12" s="1">
        <v>1</v>
      </c>
      <c r="F12" s="1">
        <v>1</v>
      </c>
      <c r="I12" s="11"/>
      <c r="AA12" t="str">
        <f t="shared" ref="AA12:AA16" si="0">_xlfn.CONCAT(IF(B12=1,"",","),"(",_xlfn.TEXTJOIN(",",TRUE,C12:Z12),")")</f>
        <v>("LOGIN_CODE","로그인유형코드",1,1)</v>
      </c>
    </row>
    <row r="13" spans="2:27" x14ac:dyDescent="0.4">
      <c r="B13" s="1">
        <v>2</v>
      </c>
      <c r="C13" s="1" t="s">
        <v>145</v>
      </c>
      <c r="D13" s="8" t="s">
        <v>836</v>
      </c>
      <c r="E13" s="1">
        <v>1</v>
      </c>
      <c r="F13" s="1">
        <v>1</v>
      </c>
      <c r="I13" s="11"/>
      <c r="AA13" t="str">
        <f t="shared" si="0"/>
        <v>,("LOGIN_INFO_EXCEPT_URI","로그인정보불필요URI코드",1,1)</v>
      </c>
    </row>
    <row r="14" spans="2:27" x14ac:dyDescent="0.4">
      <c r="B14" s="1">
        <v>3</v>
      </c>
      <c r="C14" s="1" t="s">
        <v>146</v>
      </c>
      <c r="D14" s="8" t="s">
        <v>834</v>
      </c>
      <c r="E14" s="1">
        <v>1</v>
      </c>
      <c r="F14" s="1">
        <v>1</v>
      </c>
      <c r="I14" s="11"/>
      <c r="AA14" t="str">
        <f t="shared" si="0"/>
        <v>,("POLI_CODE","정책코드",1,1)</v>
      </c>
    </row>
    <row r="15" spans="2:27" x14ac:dyDescent="0.4">
      <c r="B15" s="1">
        <v>4</v>
      </c>
      <c r="C15" s="1" t="s">
        <v>353</v>
      </c>
      <c r="D15" s="8" t="s">
        <v>833</v>
      </c>
      <c r="E15" s="1">
        <v>1</v>
      </c>
      <c r="F15" s="1">
        <v>1</v>
      </c>
      <c r="I15" s="11"/>
      <c r="AA15" t="str">
        <f t="shared" si="0"/>
        <v>,("ITEM_TYPE_CODE","상품분류코드",1,1)</v>
      </c>
    </row>
    <row r="16" spans="2:27" x14ac:dyDescent="0.4">
      <c r="B16" s="1">
        <v>5</v>
      </c>
      <c r="C16" s="1" t="s">
        <v>354</v>
      </c>
      <c r="D16" s="8" t="s">
        <v>832</v>
      </c>
      <c r="E16" s="1">
        <v>1</v>
      </c>
      <c r="F16" s="1">
        <v>1</v>
      </c>
      <c r="I16" s="11"/>
      <c r="AA16" t="str">
        <f t="shared" si="0"/>
        <v>,("ITEM_DTL_TYPE_CODE","상품상세분류코드",1,1)</v>
      </c>
    </row>
    <row r="17" spans="2:27" x14ac:dyDescent="0.4">
      <c r="B17" s="1">
        <v>6</v>
      </c>
      <c r="C17" s="1" t="s">
        <v>473</v>
      </c>
      <c r="D17" s="8" t="s">
        <v>831</v>
      </c>
      <c r="E17" s="1">
        <v>1</v>
      </c>
      <c r="F17" s="1">
        <v>1</v>
      </c>
      <c r="I17" s="11"/>
      <c r="AA17" t="str">
        <f>_xlfn.CONCAT(IF(B17=1,"",","),"(",_xlfn.TEXTJOIN(",",TRUE,C17:Z17),")")</f>
        <v>,("ITEM_SORT_CODE","상품정렬코드",1,1)</v>
      </c>
    </row>
    <row r="18" spans="2:27" x14ac:dyDescent="0.4">
      <c r="B18" s="1">
        <v>7</v>
      </c>
      <c r="C18" s="1" t="s">
        <v>829</v>
      </c>
      <c r="D18" s="8" t="s">
        <v>830</v>
      </c>
      <c r="E18" s="1">
        <v>1</v>
      </c>
      <c r="F18" s="1">
        <v>1</v>
      </c>
      <c r="I18" s="11"/>
      <c r="AA18" t="str">
        <f>_xlfn.CONCAT(IF(B18=1,"",","),"(",_xlfn.TEXTJOIN(",",TRUE,C18:Z18),")")</f>
        <v>,("ORDER_STATUS_CODE","주문상태코드",1,1)</v>
      </c>
    </row>
    <row r="19" spans="2:27" x14ac:dyDescent="0.4">
      <c r="AA19" t="s">
        <v>143</v>
      </c>
    </row>
    <row r="20" spans="2:27" x14ac:dyDescent="0.4">
      <c r="B20" s="10" t="s">
        <v>135</v>
      </c>
      <c r="C20" s="43" t="s">
        <v>868</v>
      </c>
      <c r="D20" s="43"/>
      <c r="E20" s="43"/>
      <c r="F20" s="43"/>
      <c r="G20" s="43"/>
      <c r="H20" s="43"/>
      <c r="I20" s="43"/>
    </row>
    <row r="21" spans="2:27" x14ac:dyDescent="0.4">
      <c r="B21" s="10" t="s">
        <v>1</v>
      </c>
      <c r="C21" s="5" t="s">
        <v>67</v>
      </c>
      <c r="D21" s="5" t="s">
        <v>69</v>
      </c>
      <c r="E21" s="5" t="s">
        <v>132</v>
      </c>
      <c r="F21" s="5" t="s">
        <v>245</v>
      </c>
      <c r="G21" s="5" t="s">
        <v>246</v>
      </c>
      <c r="H21" s="5" t="s">
        <v>327</v>
      </c>
      <c r="I21" s="5" t="s">
        <v>520</v>
      </c>
      <c r="R21" s="13"/>
      <c r="S21" s="13"/>
      <c r="T21" s="13"/>
      <c r="U21" s="13"/>
      <c r="V21" s="13"/>
      <c r="W21" s="13"/>
      <c r="X21" s="13"/>
      <c r="Y21" s="13"/>
      <c r="Z21" s="13"/>
      <c r="AA21" s="14" t="str">
        <f>_xlfn.CONCAT("TRUNCATE ",C20,";")</f>
        <v>TRUNCATE tb_code_detail;</v>
      </c>
    </row>
    <row r="22" spans="2:27" x14ac:dyDescent="0.4">
      <c r="B22" s="10" t="s">
        <v>3</v>
      </c>
      <c r="C22" s="5" t="s">
        <v>81</v>
      </c>
      <c r="D22" s="5" t="s">
        <v>134</v>
      </c>
      <c r="E22" s="5" t="s">
        <v>133</v>
      </c>
      <c r="F22" s="5" t="s">
        <v>157</v>
      </c>
      <c r="G22" s="5" t="s">
        <v>85</v>
      </c>
      <c r="H22" s="5" t="s">
        <v>329</v>
      </c>
      <c r="I22" s="5" t="s">
        <v>330</v>
      </c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t="str">
        <f>_xlfn.CONCAT("INSERT INTO ",C20, "(", _xlfn.TEXTJOIN(",",TRUE,C21:Z21),") VALUES")</f>
        <v>INSERT INTO tb_code_detail(CODE_GROUP,CODE_DETAIL,CODE_DETAIL_NM,MODIFY_YN,DETAIL_ORDER,FST_REG_SEQ,LST_UPD_SEQ) VALUES</v>
      </c>
    </row>
    <row r="23" spans="2:27" x14ac:dyDescent="0.4">
      <c r="B23" s="1">
        <v>1</v>
      </c>
      <c r="C23" s="1" t="s">
        <v>145</v>
      </c>
      <c r="D23" s="8" t="s">
        <v>136</v>
      </c>
      <c r="E23" s="1" t="s">
        <v>147</v>
      </c>
      <c r="F23" s="1" t="s">
        <v>159</v>
      </c>
      <c r="G23" s="1">
        <v>1</v>
      </c>
      <c r="H23" s="1">
        <v>1</v>
      </c>
      <c r="I23" s="1">
        <v>1</v>
      </c>
      <c r="AA23" t="str">
        <f t="shared" ref="AA23:AA36" si="1">_xlfn.CONCAT(IF(B23=1,"",","),"(",_xlfn.TEXTJOIN(",",TRUE,C23:Z23),")")</f>
        <v>("LOGIN_INFO_EXCEPT_URI","01","/user/signUp","N",1,1,1)</v>
      </c>
    </row>
    <row r="24" spans="2:27" x14ac:dyDescent="0.4">
      <c r="B24" s="1">
        <v>2</v>
      </c>
      <c r="C24" s="1" t="s">
        <v>144</v>
      </c>
      <c r="D24" s="8" t="s">
        <v>136</v>
      </c>
      <c r="E24" s="1" t="s">
        <v>148</v>
      </c>
      <c r="F24" s="1" t="s">
        <v>159</v>
      </c>
      <c r="G24" s="1">
        <v>1</v>
      </c>
      <c r="H24" s="1">
        <v>1</v>
      </c>
      <c r="I24" s="1">
        <v>1</v>
      </c>
      <c r="AA24" t="str">
        <f t="shared" si="1"/>
        <v>,("LOGIN_CODE","01","로그인","N",1,1,1)</v>
      </c>
    </row>
    <row r="25" spans="2:27" x14ac:dyDescent="0.4">
      <c r="B25" s="1">
        <v>3</v>
      </c>
      <c r="C25" s="1" t="s">
        <v>144</v>
      </c>
      <c r="D25" s="8" t="s">
        <v>149</v>
      </c>
      <c r="E25" s="1" t="s">
        <v>156</v>
      </c>
      <c r="F25" s="1" t="s">
        <v>159</v>
      </c>
      <c r="G25" s="1">
        <v>2</v>
      </c>
      <c r="H25" s="1">
        <v>1</v>
      </c>
      <c r="I25" s="1">
        <v>1</v>
      </c>
      <c r="AA25" t="str">
        <f t="shared" si="1"/>
        <v>,("LOGIN_CODE","02","로그아웃","N",2,1,1)</v>
      </c>
    </row>
    <row r="26" spans="2:27" x14ac:dyDescent="0.4">
      <c r="B26" s="1">
        <v>4</v>
      </c>
      <c r="C26" s="1" t="s">
        <v>144</v>
      </c>
      <c r="D26" s="8" t="s">
        <v>150</v>
      </c>
      <c r="E26" s="1" t="s">
        <v>155</v>
      </c>
      <c r="F26" s="1" t="s">
        <v>159</v>
      </c>
      <c r="G26" s="1">
        <v>3</v>
      </c>
      <c r="H26" s="1">
        <v>1</v>
      </c>
      <c r="I26" s="1">
        <v>1</v>
      </c>
      <c r="AA26" t="str">
        <f t="shared" si="1"/>
        <v>,("LOGIN_CODE","03","존재하지 않는 아이디","N",3,1,1)</v>
      </c>
    </row>
    <row r="27" spans="2:27" x14ac:dyDescent="0.4">
      <c r="B27" s="1">
        <v>5</v>
      </c>
      <c r="C27" s="1" t="s">
        <v>144</v>
      </c>
      <c r="D27" s="8" t="s">
        <v>151</v>
      </c>
      <c r="E27" s="1" t="s">
        <v>154</v>
      </c>
      <c r="F27" s="1" t="s">
        <v>159</v>
      </c>
      <c r="G27" s="1">
        <v>4</v>
      </c>
      <c r="H27" s="1">
        <v>1</v>
      </c>
      <c r="I27" s="1">
        <v>1</v>
      </c>
      <c r="AA27" t="str">
        <f t="shared" si="1"/>
        <v>,("LOGIN_CODE","04","비밀번호 오입력","N",4,1,1)</v>
      </c>
    </row>
    <row r="28" spans="2:27" x14ac:dyDescent="0.4">
      <c r="B28" s="1">
        <v>6</v>
      </c>
      <c r="C28" s="1" t="s">
        <v>144</v>
      </c>
      <c r="D28" s="8" t="s">
        <v>152</v>
      </c>
      <c r="E28" s="1" t="s">
        <v>153</v>
      </c>
      <c r="F28" s="1" t="s">
        <v>159</v>
      </c>
      <c r="G28" s="1">
        <v>5</v>
      </c>
      <c r="H28" s="1">
        <v>1</v>
      </c>
      <c r="I28" s="1">
        <v>1</v>
      </c>
      <c r="AA28" t="str">
        <f t="shared" si="1"/>
        <v>,("LOGIN_CODE","05","비밀번호 오입력 횟수 초과","N",5,1,1)</v>
      </c>
    </row>
    <row r="29" spans="2:27" x14ac:dyDescent="0.4">
      <c r="B29" s="1">
        <v>8</v>
      </c>
      <c r="C29" s="1" t="s">
        <v>231</v>
      </c>
      <c r="D29" s="8" t="s">
        <v>161</v>
      </c>
      <c r="E29" s="1" t="s">
        <v>209</v>
      </c>
      <c r="F29" s="1" t="s">
        <v>159</v>
      </c>
      <c r="G29" s="1">
        <v>1</v>
      </c>
      <c r="H29" s="1">
        <v>1</v>
      </c>
      <c r="I29" s="1">
        <v>1</v>
      </c>
      <c r="AA29" t="str">
        <f t="shared" si="1"/>
        <v>,("REQ_TYPE_CODE","admin","관리자","N",1,1,1)</v>
      </c>
    </row>
    <row r="30" spans="2:27" x14ac:dyDescent="0.4">
      <c r="B30" s="1">
        <v>9</v>
      </c>
      <c r="C30" s="1" t="s">
        <v>231</v>
      </c>
      <c r="D30" s="8" t="s">
        <v>200</v>
      </c>
      <c r="E30" s="1" t="s">
        <v>201</v>
      </c>
      <c r="F30" s="1" t="s">
        <v>159</v>
      </c>
      <c r="G30" s="1">
        <v>2</v>
      </c>
      <c r="H30" s="1">
        <v>1</v>
      </c>
      <c r="I30" s="1">
        <v>1</v>
      </c>
      <c r="AA30" t="str">
        <f t="shared" si="1"/>
        <v>,("REQ_TYPE_CODE","info","정보","N",2,1,1)</v>
      </c>
    </row>
    <row r="31" spans="2:27" x14ac:dyDescent="0.4">
      <c r="B31" s="1">
        <v>10</v>
      </c>
      <c r="C31" s="1" t="s">
        <v>231</v>
      </c>
      <c r="D31" s="8" t="s">
        <v>214</v>
      </c>
      <c r="E31" s="1" t="s">
        <v>215</v>
      </c>
      <c r="F31" s="1" t="s">
        <v>159</v>
      </c>
      <c r="G31" s="1">
        <v>3</v>
      </c>
      <c r="H31" s="1">
        <v>1</v>
      </c>
      <c r="I31" s="1">
        <v>1</v>
      </c>
      <c r="AA31" t="str">
        <f t="shared" si="1"/>
        <v>,("REQ_TYPE_CODE","user","사용자","N",3,1,1)</v>
      </c>
    </row>
    <row r="32" spans="2:27" x14ac:dyDescent="0.4">
      <c r="B32" s="1">
        <v>11</v>
      </c>
      <c r="C32" s="1" t="s">
        <v>231</v>
      </c>
      <c r="D32" s="8" t="s">
        <v>203</v>
      </c>
      <c r="E32" s="1" t="s">
        <v>207</v>
      </c>
      <c r="F32" s="1" t="s">
        <v>159</v>
      </c>
      <c r="G32" s="1">
        <v>4</v>
      </c>
      <c r="H32" s="1">
        <v>1</v>
      </c>
      <c r="I32" s="1">
        <v>1</v>
      </c>
      <c r="AA32" t="str">
        <f t="shared" si="1"/>
        <v>,("REQ_TYPE_CODE","board","게시판","N",4,1,1)</v>
      </c>
    </row>
    <row r="33" spans="2:27" x14ac:dyDescent="0.4">
      <c r="B33" s="1">
        <v>12</v>
      </c>
      <c r="C33" s="1" t="s">
        <v>231</v>
      </c>
      <c r="D33" s="8" t="s">
        <v>204</v>
      </c>
      <c r="E33" s="1" t="s">
        <v>208</v>
      </c>
      <c r="F33" s="1" t="s">
        <v>159</v>
      </c>
      <c r="G33" s="1">
        <v>5</v>
      </c>
      <c r="H33" s="1">
        <v>1</v>
      </c>
      <c r="I33" s="1">
        <v>1</v>
      </c>
      <c r="AA33" t="str">
        <f t="shared" si="1"/>
        <v>,("REQ_TYPE_CODE","market","장터","N",5,1,1)</v>
      </c>
    </row>
    <row r="34" spans="2:27" x14ac:dyDescent="0.4">
      <c r="B34" s="1">
        <v>13</v>
      </c>
      <c r="C34" s="1" t="s">
        <v>231</v>
      </c>
      <c r="D34" s="8" t="s">
        <v>205</v>
      </c>
      <c r="E34" s="1" t="s">
        <v>211</v>
      </c>
      <c r="F34" s="1" t="s">
        <v>159</v>
      </c>
      <c r="G34" s="1">
        <v>6</v>
      </c>
      <c r="H34" s="1">
        <v>1</v>
      </c>
      <c r="I34" s="1">
        <v>1</v>
      </c>
      <c r="AA34" t="str">
        <f t="shared" si="1"/>
        <v>,("REQ_TYPE_CODE","active","활동","N",6,1,1)</v>
      </c>
    </row>
    <row r="35" spans="2:27" x14ac:dyDescent="0.4">
      <c r="B35" s="1">
        <v>14</v>
      </c>
      <c r="C35" s="1" t="s">
        <v>231</v>
      </c>
      <c r="D35" s="8" t="s">
        <v>206</v>
      </c>
      <c r="E35" s="1" t="s">
        <v>210</v>
      </c>
      <c r="F35" s="1" t="s">
        <v>159</v>
      </c>
      <c r="G35" s="1">
        <v>7</v>
      </c>
      <c r="H35" s="1">
        <v>1</v>
      </c>
      <c r="I35" s="1">
        <v>1</v>
      </c>
      <c r="AA35" t="str">
        <f t="shared" si="1"/>
        <v>,("REQ_TYPE_CODE","sitter","베이비시터","N",7,1,1)</v>
      </c>
    </row>
    <row r="36" spans="2:27" x14ac:dyDescent="0.4">
      <c r="B36" s="1">
        <v>15</v>
      </c>
      <c r="C36" s="1" t="s">
        <v>231</v>
      </c>
      <c r="D36" s="8" t="s">
        <v>232</v>
      </c>
      <c r="E36" s="1" t="s">
        <v>233</v>
      </c>
      <c r="F36" s="1" t="s">
        <v>159</v>
      </c>
      <c r="G36" s="1">
        <v>8</v>
      </c>
      <c r="H36" s="1">
        <v>1</v>
      </c>
      <c r="I36" s="1">
        <v>1</v>
      </c>
      <c r="AA36" t="str">
        <f t="shared" si="1"/>
        <v>,("REQ_TYPE_CODE","error","오류","N",8,1,1)</v>
      </c>
    </row>
    <row r="37" spans="2:27" x14ac:dyDescent="0.4">
      <c r="B37" s="1">
        <v>16</v>
      </c>
      <c r="C37" s="1" t="s">
        <v>353</v>
      </c>
      <c r="D37" s="8" t="s">
        <v>136</v>
      </c>
      <c r="E37" s="1" t="s">
        <v>356</v>
      </c>
      <c r="F37" s="1" t="s">
        <v>159</v>
      </c>
      <c r="G37" s="1">
        <v>1</v>
      </c>
      <c r="H37" s="1">
        <v>1</v>
      </c>
      <c r="I37" s="1">
        <v>1</v>
      </c>
      <c r="AA37" t="str">
        <f t="shared" ref="AA37:AA67" si="2">_xlfn.CONCAT(IF(B37=1,"",","),"(",_xlfn.TEXTJOIN(",",TRUE,C37:Z37),")")</f>
        <v>,("ITEM_TYPE_CODE","01","식품","N",1,1,1)</v>
      </c>
    </row>
    <row r="38" spans="2:27" x14ac:dyDescent="0.4">
      <c r="B38" s="1">
        <v>17</v>
      </c>
      <c r="C38" s="1" t="s">
        <v>353</v>
      </c>
      <c r="D38" s="8" t="s">
        <v>149</v>
      </c>
      <c r="E38" s="1" t="s">
        <v>358</v>
      </c>
      <c r="F38" s="1" t="s">
        <v>159</v>
      </c>
      <c r="G38" s="1">
        <v>2</v>
      </c>
      <c r="H38" s="1">
        <v>1</v>
      </c>
      <c r="I38" s="1">
        <v>1</v>
      </c>
      <c r="AA38" t="str">
        <f t="shared" si="2"/>
        <v>,("ITEM_TYPE_CODE","02","화장품","N",2,1,1)</v>
      </c>
    </row>
    <row r="39" spans="2:27" x14ac:dyDescent="0.4">
      <c r="B39" s="1">
        <v>18</v>
      </c>
      <c r="C39" s="1" t="s">
        <v>353</v>
      </c>
      <c r="D39" s="8" t="s">
        <v>150</v>
      </c>
      <c r="E39" s="1" t="s">
        <v>360</v>
      </c>
      <c r="F39" s="1" t="s">
        <v>159</v>
      </c>
      <c r="G39" s="1">
        <v>3</v>
      </c>
      <c r="H39" s="1">
        <v>1</v>
      </c>
      <c r="I39" s="1">
        <v>1</v>
      </c>
      <c r="AA39" t="str">
        <f t="shared" si="2"/>
        <v>,("ITEM_TYPE_CODE","03","기타","N",3,1,1)</v>
      </c>
    </row>
    <row r="40" spans="2:27" x14ac:dyDescent="0.4">
      <c r="B40" s="1">
        <v>19</v>
      </c>
      <c r="C40" s="1" t="s">
        <v>559</v>
      </c>
      <c r="D40" s="8" t="s">
        <v>361</v>
      </c>
      <c r="E40" s="1" t="s">
        <v>527</v>
      </c>
      <c r="F40" s="1" t="s">
        <v>159</v>
      </c>
      <c r="G40" s="1">
        <v>1</v>
      </c>
      <c r="H40" s="1">
        <v>1</v>
      </c>
      <c r="I40" s="1">
        <v>1</v>
      </c>
      <c r="AA40" t="str">
        <f t="shared" si="2"/>
        <v>,("ITEM_DTL_TYPE_CODE","0101","과자","N",1,1,1)</v>
      </c>
    </row>
    <row r="41" spans="2:27" x14ac:dyDescent="0.4">
      <c r="B41" s="1">
        <v>20</v>
      </c>
      <c r="C41" s="1" t="s">
        <v>559</v>
      </c>
      <c r="D41" s="8" t="s">
        <v>362</v>
      </c>
      <c r="E41" s="1" t="s">
        <v>528</v>
      </c>
      <c r="F41" s="1" t="s">
        <v>159</v>
      </c>
      <c r="G41" s="1">
        <v>2</v>
      </c>
      <c r="H41" s="1">
        <v>1</v>
      </c>
      <c r="I41" s="1">
        <v>1</v>
      </c>
      <c r="AA41" t="str">
        <f t="shared" si="2"/>
        <v>,("ITEM_DTL_TYPE_CODE","0102","음료","N",2,1,1)</v>
      </c>
    </row>
    <row r="42" spans="2:27" x14ac:dyDescent="0.4">
      <c r="B42" s="1">
        <v>21</v>
      </c>
      <c r="C42" s="1" t="s">
        <v>559</v>
      </c>
      <c r="D42" s="8" t="s">
        <v>363</v>
      </c>
      <c r="E42" s="1" t="s">
        <v>529</v>
      </c>
      <c r="F42" s="1" t="s">
        <v>159</v>
      </c>
      <c r="G42" s="1">
        <v>3</v>
      </c>
      <c r="H42" s="1">
        <v>1</v>
      </c>
      <c r="I42" s="1">
        <v>1</v>
      </c>
      <c r="AA42" t="str">
        <f t="shared" si="2"/>
        <v>,("ITEM_DTL_TYPE_CODE","0103","즉석밥","N",3,1,1)</v>
      </c>
    </row>
    <row r="43" spans="2:27" x14ac:dyDescent="0.4">
      <c r="B43" s="1">
        <v>22</v>
      </c>
      <c r="C43" s="1" t="s">
        <v>559</v>
      </c>
      <c r="D43" s="8" t="s">
        <v>364</v>
      </c>
      <c r="E43" s="1" t="s">
        <v>530</v>
      </c>
      <c r="F43" s="1" t="s">
        <v>159</v>
      </c>
      <c r="G43" s="1">
        <v>4</v>
      </c>
      <c r="H43" s="1">
        <v>1</v>
      </c>
      <c r="I43" s="1">
        <v>1</v>
      </c>
      <c r="AA43" t="str">
        <f t="shared" si="2"/>
        <v>,("ITEM_DTL_TYPE_CODE","0104","라면","N",4,1,1)</v>
      </c>
    </row>
    <row r="44" spans="2:27" x14ac:dyDescent="0.4">
      <c r="B44" s="1">
        <v>23</v>
      </c>
      <c r="C44" s="1" t="s">
        <v>559</v>
      </c>
      <c r="D44" s="8" t="s">
        <v>365</v>
      </c>
      <c r="E44" s="1" t="s">
        <v>531</v>
      </c>
      <c r="F44" s="1" t="s">
        <v>159</v>
      </c>
      <c r="G44" s="1">
        <v>5</v>
      </c>
      <c r="H44" s="1">
        <v>1</v>
      </c>
      <c r="I44" s="1">
        <v>1</v>
      </c>
      <c r="AA44" t="str">
        <f t="shared" si="2"/>
        <v>,("ITEM_DTL_TYPE_CODE","0105","차","N",5,1,1)</v>
      </c>
    </row>
    <row r="45" spans="2:27" x14ac:dyDescent="0.4">
      <c r="B45" s="1">
        <v>24</v>
      </c>
      <c r="C45" s="1" t="s">
        <v>559</v>
      </c>
      <c r="D45" s="8" t="s">
        <v>366</v>
      </c>
      <c r="E45" s="1" t="s">
        <v>532</v>
      </c>
      <c r="F45" s="1" t="s">
        <v>159</v>
      </c>
      <c r="G45" s="1">
        <v>6</v>
      </c>
      <c r="H45" s="1">
        <v>1</v>
      </c>
      <c r="I45" s="1">
        <v>1</v>
      </c>
      <c r="AA45" t="str">
        <f t="shared" si="2"/>
        <v>,("ITEM_DTL_TYPE_CODE","0106","캔디","N",6,1,1)</v>
      </c>
    </row>
    <row r="46" spans="2:27" x14ac:dyDescent="0.4">
      <c r="B46" s="1">
        <v>25</v>
      </c>
      <c r="C46" s="1" t="s">
        <v>559</v>
      </c>
      <c r="D46" s="8" t="s">
        <v>367</v>
      </c>
      <c r="E46" s="1" t="s">
        <v>533</v>
      </c>
      <c r="F46" s="1" t="s">
        <v>159</v>
      </c>
      <c r="G46" s="1">
        <v>7</v>
      </c>
      <c r="H46" s="1">
        <v>1</v>
      </c>
      <c r="I46" s="1">
        <v>1</v>
      </c>
      <c r="AA46" t="str">
        <f t="shared" si="2"/>
        <v>,("ITEM_DTL_TYPE_CODE","0107","기타","N",7,1,1)</v>
      </c>
    </row>
    <row r="47" spans="2:27" x14ac:dyDescent="0.4">
      <c r="B47" s="1">
        <v>26</v>
      </c>
      <c r="C47" s="1" t="s">
        <v>559</v>
      </c>
      <c r="D47" s="8" t="s">
        <v>368</v>
      </c>
      <c r="E47" s="1" t="s">
        <v>534</v>
      </c>
      <c r="F47" s="1" t="s">
        <v>159</v>
      </c>
      <c r="G47" s="1">
        <v>8</v>
      </c>
      <c r="H47" s="1">
        <v>1</v>
      </c>
      <c r="I47" s="1">
        <v>1</v>
      </c>
      <c r="AA47" t="str">
        <f t="shared" si="2"/>
        <v>,("ITEM_DTL_TYPE_CODE","0108","소세지","N",8,1,1)</v>
      </c>
    </row>
    <row r="48" spans="2:27" x14ac:dyDescent="0.4">
      <c r="B48" s="1">
        <v>27</v>
      </c>
      <c r="C48" s="1" t="s">
        <v>559</v>
      </c>
      <c r="D48" s="8" t="s">
        <v>369</v>
      </c>
      <c r="E48" s="1" t="s">
        <v>535</v>
      </c>
      <c r="F48" s="1" t="s">
        <v>159</v>
      </c>
      <c r="G48" s="1">
        <v>9</v>
      </c>
      <c r="H48" s="1">
        <v>1</v>
      </c>
      <c r="I48" s="1">
        <v>1</v>
      </c>
      <c r="AA48" t="str">
        <f t="shared" si="2"/>
        <v>,("ITEM_DTL_TYPE_CODE","0109","쉐이크","N",9,1,1)</v>
      </c>
    </row>
    <row r="49" spans="2:27" x14ac:dyDescent="0.4">
      <c r="B49" s="1">
        <v>28</v>
      </c>
      <c r="C49" s="1" t="s">
        <v>559</v>
      </c>
      <c r="D49" s="8" t="s">
        <v>536</v>
      </c>
      <c r="E49" s="1" t="s">
        <v>537</v>
      </c>
      <c r="F49" s="1" t="s">
        <v>159</v>
      </c>
      <c r="G49" s="1">
        <v>10</v>
      </c>
      <c r="H49" s="1">
        <v>1</v>
      </c>
      <c r="I49" s="1">
        <v>1</v>
      </c>
      <c r="AA49" t="str">
        <f t="shared" si="2"/>
        <v>,("ITEM_DTL_TYPE_CODE","0110","소스","N",10,1,1)</v>
      </c>
    </row>
    <row r="50" spans="2:27" x14ac:dyDescent="0.4">
      <c r="B50" s="1">
        <v>29</v>
      </c>
      <c r="C50" s="1" t="s">
        <v>559</v>
      </c>
      <c r="D50" s="8" t="s">
        <v>538</v>
      </c>
      <c r="E50" s="1" t="s">
        <v>539</v>
      </c>
      <c r="F50" s="1" t="s">
        <v>159</v>
      </c>
      <c r="G50" s="1">
        <v>11</v>
      </c>
      <c r="H50" s="1">
        <v>1</v>
      </c>
      <c r="I50" s="1">
        <v>1</v>
      </c>
      <c r="AA50" t="str">
        <f t="shared" si="2"/>
        <v>,("ITEM_DTL_TYPE_CODE","0111","건강","N",11,1,1)</v>
      </c>
    </row>
    <row r="51" spans="2:27" x14ac:dyDescent="0.4">
      <c r="B51" s="1">
        <v>30</v>
      </c>
      <c r="C51" s="1" t="s">
        <v>559</v>
      </c>
      <c r="D51" s="8" t="s">
        <v>370</v>
      </c>
      <c r="E51" s="1" t="s">
        <v>540</v>
      </c>
      <c r="F51" s="1" t="s">
        <v>159</v>
      </c>
      <c r="G51" s="1">
        <v>12</v>
      </c>
      <c r="H51" s="1">
        <v>1</v>
      </c>
      <c r="I51" s="1">
        <v>1</v>
      </c>
      <c r="AA51" t="str">
        <f t="shared" si="2"/>
        <v>,("ITEM_DTL_TYPE_CODE","0201","마스크팩","N",12,1,1)</v>
      </c>
    </row>
    <row r="52" spans="2:27" x14ac:dyDescent="0.4">
      <c r="B52" s="1">
        <v>31</v>
      </c>
      <c r="C52" s="1" t="s">
        <v>559</v>
      </c>
      <c r="D52" s="8" t="s">
        <v>371</v>
      </c>
      <c r="E52" s="1" t="s">
        <v>541</v>
      </c>
      <c r="F52" s="1" t="s">
        <v>159</v>
      </c>
      <c r="G52" s="1">
        <v>13</v>
      </c>
      <c r="H52" s="1">
        <v>1</v>
      </c>
      <c r="I52" s="1">
        <v>1</v>
      </c>
      <c r="AA52" t="str">
        <f t="shared" si="2"/>
        <v>,("ITEM_DTL_TYPE_CODE","0202","선크림","N",13,1,1)</v>
      </c>
    </row>
    <row r="53" spans="2:27" x14ac:dyDescent="0.4">
      <c r="B53" s="1">
        <v>32</v>
      </c>
      <c r="C53" s="1" t="s">
        <v>559</v>
      </c>
      <c r="D53" s="8" t="s">
        <v>372</v>
      </c>
      <c r="E53" s="1" t="s">
        <v>542</v>
      </c>
      <c r="F53" s="1" t="s">
        <v>159</v>
      </c>
      <c r="G53" s="1">
        <v>14</v>
      </c>
      <c r="H53" s="1">
        <v>1</v>
      </c>
      <c r="I53" s="1">
        <v>1</v>
      </c>
      <c r="AA53" t="str">
        <f t="shared" si="2"/>
        <v>,("ITEM_DTL_TYPE_CODE","0203","아이크림","N",14,1,1)</v>
      </c>
    </row>
    <row r="54" spans="2:27" x14ac:dyDescent="0.4">
      <c r="B54" s="1">
        <v>33</v>
      </c>
      <c r="C54" s="1" t="s">
        <v>559</v>
      </c>
      <c r="D54" s="8" t="s">
        <v>373</v>
      </c>
      <c r="E54" s="1" t="s">
        <v>543</v>
      </c>
      <c r="F54" s="1" t="s">
        <v>159</v>
      </c>
      <c r="G54" s="1">
        <v>15</v>
      </c>
      <c r="H54" s="1">
        <v>1</v>
      </c>
      <c r="I54" s="1">
        <v>1</v>
      </c>
      <c r="AA54" t="str">
        <f t="shared" si="2"/>
        <v>,("ITEM_DTL_TYPE_CODE","0204","영양크림","N",15,1,1)</v>
      </c>
    </row>
    <row r="55" spans="2:27" x14ac:dyDescent="0.4">
      <c r="B55" s="1">
        <v>34</v>
      </c>
      <c r="C55" s="1" t="s">
        <v>559</v>
      </c>
      <c r="D55" s="8" t="s">
        <v>374</v>
      </c>
      <c r="E55" s="1" t="s">
        <v>544</v>
      </c>
      <c r="F55" s="1" t="s">
        <v>159</v>
      </c>
      <c r="G55" s="1">
        <v>16</v>
      </c>
      <c r="H55" s="1">
        <v>1</v>
      </c>
      <c r="I55" s="1">
        <v>1</v>
      </c>
      <c r="AA55" t="str">
        <f t="shared" si="2"/>
        <v>,("ITEM_DTL_TYPE_CODE","0205","폼클렌징","N",16,1,1)</v>
      </c>
    </row>
    <row r="56" spans="2:27" x14ac:dyDescent="0.4">
      <c r="B56" s="1">
        <v>35</v>
      </c>
      <c r="C56" s="1" t="s">
        <v>559</v>
      </c>
      <c r="D56" s="8" t="s">
        <v>545</v>
      </c>
      <c r="E56" s="1" t="s">
        <v>546</v>
      </c>
      <c r="F56" s="1" t="s">
        <v>159</v>
      </c>
      <c r="G56" s="1">
        <v>17</v>
      </c>
      <c r="H56" s="1">
        <v>1</v>
      </c>
      <c r="I56" s="1">
        <v>1</v>
      </c>
      <c r="AA56" t="str">
        <f t="shared" si="2"/>
        <v>,("ITEM_DTL_TYPE_CODE","0206","토너","N",17,1,1)</v>
      </c>
    </row>
    <row r="57" spans="2:27" x14ac:dyDescent="0.4">
      <c r="B57" s="1">
        <v>36</v>
      </c>
      <c r="C57" s="1" t="s">
        <v>559</v>
      </c>
      <c r="D57" s="8" t="s">
        <v>560</v>
      </c>
      <c r="E57" s="1" t="s">
        <v>561</v>
      </c>
      <c r="F57" s="1" t="s">
        <v>562</v>
      </c>
      <c r="G57" s="1">
        <v>18</v>
      </c>
      <c r="H57" s="1">
        <v>1</v>
      </c>
      <c r="I57" s="1">
        <v>1</v>
      </c>
      <c r="AA57" t="str">
        <f>_xlfn.CONCAT(IF(B57=1,"",","),"(",_xlfn.TEXTJOIN(",",TRUE,C57:Z57),")")</f>
        <v>,("ITEM_DTL_TYPE_CODE","0207","로션/에멀전","N",18,1,1)</v>
      </c>
    </row>
    <row r="58" spans="2:27" x14ac:dyDescent="0.4">
      <c r="B58" s="1">
        <v>37</v>
      </c>
      <c r="C58" s="1" t="s">
        <v>559</v>
      </c>
      <c r="D58" s="8" t="s">
        <v>563</v>
      </c>
      <c r="E58" s="1" t="s">
        <v>564</v>
      </c>
      <c r="F58" s="1" t="s">
        <v>562</v>
      </c>
      <c r="G58" s="1">
        <v>19</v>
      </c>
      <c r="H58" s="1">
        <v>1</v>
      </c>
      <c r="I58" s="1">
        <v>1</v>
      </c>
      <c r="AA58" t="str">
        <f>_xlfn.CONCAT(IF(B58=1,"",","),"(",_xlfn.TEXTJOIN(",",TRUE,C58:Z58),")")</f>
        <v>,("ITEM_DTL_TYPE_CODE","0208","에센스/세럼/앰플","N",19,1,1)</v>
      </c>
    </row>
    <row r="59" spans="2:27" x14ac:dyDescent="0.4">
      <c r="B59" s="1">
        <v>38</v>
      </c>
      <c r="C59" s="1" t="s">
        <v>559</v>
      </c>
      <c r="D59" s="8" t="s">
        <v>565</v>
      </c>
      <c r="E59" s="1" t="s">
        <v>533</v>
      </c>
      <c r="F59" s="1" t="s">
        <v>562</v>
      </c>
      <c r="G59" s="1">
        <v>20</v>
      </c>
      <c r="H59" s="1">
        <v>1</v>
      </c>
      <c r="I59" s="1">
        <v>1</v>
      </c>
      <c r="AA59" t="str">
        <f>_xlfn.CONCAT(IF(B59=1,"",","),"(",_xlfn.TEXTJOIN(",",TRUE,C59:Z59),")")</f>
        <v>,("ITEM_DTL_TYPE_CODE","0209","기타","N",20,1,1)</v>
      </c>
    </row>
    <row r="60" spans="2:27" x14ac:dyDescent="0.4">
      <c r="B60" s="1">
        <v>39</v>
      </c>
      <c r="C60" s="1" t="s">
        <v>559</v>
      </c>
      <c r="D60" s="8" t="s">
        <v>375</v>
      </c>
      <c r="E60" s="1" t="s">
        <v>547</v>
      </c>
      <c r="F60" s="1" t="s">
        <v>159</v>
      </c>
      <c r="G60" s="1">
        <v>21</v>
      </c>
      <c r="H60" s="1">
        <v>1</v>
      </c>
      <c r="I60" s="1">
        <v>1</v>
      </c>
      <c r="AA60" t="str">
        <f t="shared" si="2"/>
        <v>,("ITEM_DTL_TYPE_CODE","0301","디퓨저","N",21,1,1)</v>
      </c>
    </row>
    <row r="61" spans="2:27" x14ac:dyDescent="0.4">
      <c r="B61" s="1">
        <v>40</v>
      </c>
      <c r="C61" s="1" t="s">
        <v>559</v>
      </c>
      <c r="D61" s="8" t="s">
        <v>376</v>
      </c>
      <c r="E61" s="1" t="s">
        <v>548</v>
      </c>
      <c r="F61" s="1" t="s">
        <v>159</v>
      </c>
      <c r="G61" s="1">
        <v>22</v>
      </c>
      <c r="H61" s="1">
        <v>1</v>
      </c>
      <c r="I61" s="1">
        <v>1</v>
      </c>
      <c r="AA61" t="str">
        <f t="shared" si="2"/>
        <v>,("ITEM_DTL_TYPE_CODE","0302","세탁","N",22,1,1)</v>
      </c>
    </row>
    <row r="62" spans="2:27" x14ac:dyDescent="0.4">
      <c r="B62" s="1">
        <v>41</v>
      </c>
      <c r="C62" s="1" t="s">
        <v>559</v>
      </c>
      <c r="D62" s="8" t="s">
        <v>377</v>
      </c>
      <c r="E62" s="1" t="s">
        <v>549</v>
      </c>
      <c r="F62" s="1" t="s">
        <v>159</v>
      </c>
      <c r="G62" s="1">
        <v>23</v>
      </c>
      <c r="H62" s="1">
        <v>1</v>
      </c>
      <c r="I62" s="1">
        <v>1</v>
      </c>
      <c r="AA62" t="str">
        <f t="shared" si="2"/>
        <v>,("ITEM_DTL_TYPE_CODE","0303","안마기","N",23,1,1)</v>
      </c>
    </row>
    <row r="63" spans="2:27" x14ac:dyDescent="0.4">
      <c r="B63" s="1">
        <v>42</v>
      </c>
      <c r="C63" s="1" t="s">
        <v>559</v>
      </c>
      <c r="D63" s="8" t="s">
        <v>378</v>
      </c>
      <c r="E63" s="1" t="s">
        <v>550</v>
      </c>
      <c r="F63" s="1" t="s">
        <v>159</v>
      </c>
      <c r="G63" s="1">
        <v>24</v>
      </c>
      <c r="H63" s="1">
        <v>1</v>
      </c>
      <c r="I63" s="1">
        <v>1</v>
      </c>
      <c r="AA63" t="str">
        <f t="shared" si="2"/>
        <v>,("ITEM_DTL_TYPE_CODE","0304","면도기","N",24,1,1)</v>
      </c>
    </row>
    <row r="64" spans="2:27" x14ac:dyDescent="0.4">
      <c r="B64" s="1">
        <v>43</v>
      </c>
      <c r="C64" s="1" t="s">
        <v>559</v>
      </c>
      <c r="D64" s="8" t="s">
        <v>551</v>
      </c>
      <c r="E64" s="1" t="s">
        <v>552</v>
      </c>
      <c r="F64" s="1" t="s">
        <v>159</v>
      </c>
      <c r="G64" s="1">
        <v>25</v>
      </c>
      <c r="H64" s="1">
        <v>1</v>
      </c>
      <c r="I64" s="1">
        <v>1</v>
      </c>
      <c r="AA64" t="str">
        <f t="shared" si="2"/>
        <v>,("ITEM_DTL_TYPE_CODE","0305","구강","N",25,1,1)</v>
      </c>
    </row>
    <row r="65" spans="2:27" x14ac:dyDescent="0.4">
      <c r="B65" s="1">
        <v>44</v>
      </c>
      <c r="C65" s="1" t="s">
        <v>559</v>
      </c>
      <c r="D65" s="8" t="s">
        <v>553</v>
      </c>
      <c r="E65" s="1" t="s">
        <v>554</v>
      </c>
      <c r="F65" s="1" t="s">
        <v>159</v>
      </c>
      <c r="G65" s="1">
        <v>26</v>
      </c>
      <c r="H65" s="1">
        <v>1</v>
      </c>
      <c r="I65" s="1">
        <v>1</v>
      </c>
      <c r="AA65" t="str">
        <f t="shared" si="2"/>
        <v>,("ITEM_DTL_TYPE_CODE","0306","두피","N",26,1,1)</v>
      </c>
    </row>
    <row r="66" spans="2:27" x14ac:dyDescent="0.4">
      <c r="B66" s="1">
        <v>45</v>
      </c>
      <c r="C66" s="1" t="s">
        <v>559</v>
      </c>
      <c r="D66" s="8" t="s">
        <v>555</v>
      </c>
      <c r="E66" s="1" t="s">
        <v>556</v>
      </c>
      <c r="F66" s="1" t="s">
        <v>159</v>
      </c>
      <c r="G66" s="1">
        <v>27</v>
      </c>
      <c r="H66" s="1">
        <v>1</v>
      </c>
      <c r="I66" s="1">
        <v>1</v>
      </c>
      <c r="AA66" t="str">
        <f t="shared" si="2"/>
        <v>,("ITEM_DTL_TYPE_CODE","0307","바디","N",27,1,1)</v>
      </c>
    </row>
    <row r="67" spans="2:27" x14ac:dyDescent="0.4">
      <c r="B67" s="1">
        <v>46</v>
      </c>
      <c r="C67" s="1" t="s">
        <v>559</v>
      </c>
      <c r="D67" s="8" t="s">
        <v>557</v>
      </c>
      <c r="E67" s="1" t="s">
        <v>558</v>
      </c>
      <c r="F67" s="1" t="s">
        <v>159</v>
      </c>
      <c r="G67" s="1">
        <v>28</v>
      </c>
      <c r="H67" s="1">
        <v>1</v>
      </c>
      <c r="I67" s="1">
        <v>1</v>
      </c>
      <c r="AA67" t="str">
        <f t="shared" si="2"/>
        <v>,("ITEM_DTL_TYPE_CODE","0308","의류","N",28,1,1)</v>
      </c>
    </row>
    <row r="68" spans="2:27" x14ac:dyDescent="0.4">
      <c r="B68" s="1">
        <v>47</v>
      </c>
      <c r="C68" s="1" t="s">
        <v>473</v>
      </c>
      <c r="D68" s="8" t="s">
        <v>136</v>
      </c>
      <c r="E68" s="1" t="s">
        <v>475</v>
      </c>
      <c r="F68" s="1" t="s">
        <v>182</v>
      </c>
      <c r="G68" s="1">
        <v>1</v>
      </c>
      <c r="H68" s="1">
        <v>1</v>
      </c>
      <c r="I68" s="1">
        <v>1</v>
      </c>
      <c r="AA68" t="str">
        <f t="shared" ref="AA68:AA79" si="3">_xlfn.CONCAT(IF(B68=1,"",","),"(",_xlfn.TEXTJOIN(",",TRUE,C68:Z68),")")</f>
        <v>,("ITEM_SORT_CODE","01","판매량순","Y",1,1,1)</v>
      </c>
    </row>
    <row r="69" spans="2:27" x14ac:dyDescent="0.4">
      <c r="B69" s="1">
        <v>48</v>
      </c>
      <c r="C69" s="1" t="s">
        <v>473</v>
      </c>
      <c r="D69" s="8" t="s">
        <v>149</v>
      </c>
      <c r="E69" s="1" t="s">
        <v>886</v>
      </c>
      <c r="F69" s="1" t="s">
        <v>182</v>
      </c>
      <c r="G69" s="1">
        <v>2</v>
      </c>
      <c r="H69" s="1">
        <v>1</v>
      </c>
      <c r="I69" s="1">
        <v>1</v>
      </c>
      <c r="AA69" t="str">
        <f t="shared" si="3"/>
        <v>,("ITEM_SORT_CODE","02","최신순","Y",2,1,1)</v>
      </c>
    </row>
    <row r="70" spans="2:27" x14ac:dyDescent="0.4">
      <c r="B70" s="1">
        <v>49</v>
      </c>
      <c r="C70" s="1" t="s">
        <v>473</v>
      </c>
      <c r="D70" s="8" t="s">
        <v>150</v>
      </c>
      <c r="E70" s="1" t="s">
        <v>474</v>
      </c>
      <c r="F70" s="1" t="s">
        <v>182</v>
      </c>
      <c r="G70" s="1">
        <v>3</v>
      </c>
      <c r="H70" s="1">
        <v>1</v>
      </c>
      <c r="I70" s="1">
        <v>1</v>
      </c>
      <c r="AA70" t="str">
        <f t="shared" si="3"/>
        <v>,("ITEM_SORT_CODE","03","상품명순","Y",3,1,1)</v>
      </c>
    </row>
    <row r="71" spans="2:27" x14ac:dyDescent="0.4">
      <c r="B71" s="1">
        <v>50</v>
      </c>
      <c r="C71" s="1" t="s">
        <v>473</v>
      </c>
      <c r="D71" s="8" t="s">
        <v>151</v>
      </c>
      <c r="E71" s="1" t="s">
        <v>476</v>
      </c>
      <c r="F71" s="1" t="s">
        <v>182</v>
      </c>
      <c r="G71" s="1">
        <v>4</v>
      </c>
      <c r="H71" s="1">
        <v>1</v>
      </c>
      <c r="I71" s="1">
        <v>1</v>
      </c>
      <c r="AA71" t="str">
        <f t="shared" si="3"/>
        <v>,("ITEM_SORT_CODE","04","낮은 가격순","Y",4,1,1)</v>
      </c>
    </row>
    <row r="72" spans="2:27" x14ac:dyDescent="0.4">
      <c r="B72" s="1">
        <v>51</v>
      </c>
      <c r="C72" s="1" t="s">
        <v>473</v>
      </c>
      <c r="D72" s="8" t="s">
        <v>152</v>
      </c>
      <c r="E72" s="1" t="s">
        <v>477</v>
      </c>
      <c r="F72" s="1" t="s">
        <v>182</v>
      </c>
      <c r="G72" s="1">
        <v>5</v>
      </c>
      <c r="H72" s="1">
        <v>1</v>
      </c>
      <c r="I72" s="1">
        <v>1</v>
      </c>
      <c r="AA72" t="str">
        <f t="shared" ref="AA72" si="4">_xlfn.CONCAT(IF(B72=1,"",","),"(",_xlfn.TEXTJOIN(",",TRUE,C72:Z72),")")</f>
        <v>,("ITEM_SORT_CODE","05","높은 가격순","Y",5,1,1)</v>
      </c>
    </row>
    <row r="73" spans="2:27" x14ac:dyDescent="0.4">
      <c r="B73" s="1">
        <v>52</v>
      </c>
      <c r="C73" s="1" t="s">
        <v>829</v>
      </c>
      <c r="D73" s="8" t="s">
        <v>136</v>
      </c>
      <c r="E73" s="1" t="s">
        <v>840</v>
      </c>
      <c r="F73" s="1" t="s">
        <v>182</v>
      </c>
      <c r="G73" s="1">
        <v>1</v>
      </c>
      <c r="H73" s="1">
        <v>1</v>
      </c>
      <c r="I73" s="1">
        <v>1</v>
      </c>
      <c r="AA73" t="str">
        <f t="shared" si="3"/>
        <v>,("ORDER_STATUS_CODE","01","구매요청","Y",1,1,1)</v>
      </c>
    </row>
    <row r="74" spans="2:27" x14ac:dyDescent="0.4">
      <c r="B74" s="1">
        <v>53</v>
      </c>
      <c r="C74" s="1" t="s">
        <v>829</v>
      </c>
      <c r="D74" s="8" t="s">
        <v>149</v>
      </c>
      <c r="E74" s="1" t="s">
        <v>841</v>
      </c>
      <c r="F74" s="1" t="s">
        <v>182</v>
      </c>
      <c r="G74" s="1">
        <v>1</v>
      </c>
      <c r="H74" s="1">
        <v>1</v>
      </c>
      <c r="I74" s="1">
        <v>1</v>
      </c>
      <c r="AA74" t="str">
        <f t="shared" si="3"/>
        <v>,("ORDER_STATUS_CODE","02","배송중","Y",1,1,1)</v>
      </c>
    </row>
    <row r="75" spans="2:27" x14ac:dyDescent="0.4">
      <c r="B75" s="1">
        <v>54</v>
      </c>
      <c r="C75" s="1" t="s">
        <v>829</v>
      </c>
      <c r="D75" s="8" t="s">
        <v>359</v>
      </c>
      <c r="E75" s="1" t="s">
        <v>842</v>
      </c>
      <c r="F75" s="1" t="s">
        <v>182</v>
      </c>
      <c r="G75" s="1">
        <v>1</v>
      </c>
      <c r="H75" s="1">
        <v>1</v>
      </c>
      <c r="I75" s="1">
        <v>1</v>
      </c>
      <c r="AA75" t="str">
        <f t="shared" si="3"/>
        <v>,("ORDER_STATUS_CODE","03","미결제","Y",1,1,1)</v>
      </c>
    </row>
    <row r="76" spans="2:27" x14ac:dyDescent="0.4">
      <c r="B76" s="1">
        <v>55</v>
      </c>
      <c r="C76" s="1" t="s">
        <v>829</v>
      </c>
      <c r="D76" s="8" t="s">
        <v>151</v>
      </c>
      <c r="E76" s="1" t="s">
        <v>958</v>
      </c>
      <c r="F76" s="1" t="s">
        <v>182</v>
      </c>
      <c r="G76" s="1">
        <v>1</v>
      </c>
      <c r="H76" s="1">
        <v>1</v>
      </c>
      <c r="I76" s="1">
        <v>1</v>
      </c>
      <c r="AA76" t="str">
        <f t="shared" ref="AA76" si="5">_xlfn.CONCAT(IF(B76=1,"",","),"(",_xlfn.TEXTJOIN(",",TRUE,C76:Z76),")")</f>
        <v>,("ORDER_STATUS_CODE","04","송금완료","Y",1,1,1)</v>
      </c>
    </row>
    <row r="77" spans="2:27" x14ac:dyDescent="0.4">
      <c r="B77" s="1">
        <v>56</v>
      </c>
      <c r="C77" s="1" t="s">
        <v>829</v>
      </c>
      <c r="D77" s="8" t="s">
        <v>837</v>
      </c>
      <c r="E77" s="1" t="s">
        <v>843</v>
      </c>
      <c r="F77" s="1" t="s">
        <v>182</v>
      </c>
      <c r="G77" s="1">
        <v>1</v>
      </c>
      <c r="H77" s="1">
        <v>1</v>
      </c>
      <c r="I77" s="1">
        <v>1</v>
      </c>
      <c r="AA77" t="str">
        <f t="shared" si="3"/>
        <v>,("ORDER_STATUS_CODE","11","구매완료","Y",1,1,1)</v>
      </c>
    </row>
    <row r="78" spans="2:27" x14ac:dyDescent="0.4">
      <c r="B78" s="1">
        <v>57</v>
      </c>
      <c r="C78" s="1" t="s">
        <v>829</v>
      </c>
      <c r="D78" s="8" t="s">
        <v>838</v>
      </c>
      <c r="E78" s="1" t="s">
        <v>844</v>
      </c>
      <c r="F78" s="1" t="s">
        <v>182</v>
      </c>
      <c r="G78" s="1">
        <v>1</v>
      </c>
      <c r="H78" s="1">
        <v>1</v>
      </c>
      <c r="I78" s="1">
        <v>1</v>
      </c>
      <c r="AA78" t="str">
        <f t="shared" si="3"/>
        <v>,("ORDER_STATUS_CODE","12","품절","Y",1,1,1)</v>
      </c>
    </row>
    <row r="79" spans="2:27" x14ac:dyDescent="0.4">
      <c r="B79" s="1">
        <v>58</v>
      </c>
      <c r="C79" s="1" t="s">
        <v>829</v>
      </c>
      <c r="D79" s="8" t="s">
        <v>839</v>
      </c>
      <c r="E79" s="1" t="s">
        <v>845</v>
      </c>
      <c r="F79" s="1" t="s">
        <v>182</v>
      </c>
      <c r="G79" s="1">
        <v>1</v>
      </c>
      <c r="H79" s="1">
        <v>1</v>
      </c>
      <c r="I79" s="1">
        <v>1</v>
      </c>
      <c r="AA79" t="str">
        <f t="shared" si="3"/>
        <v>,("ORDER_STATUS_CODE","91","취소","Y",1,1,1)</v>
      </c>
    </row>
    <row r="80" spans="2:27" x14ac:dyDescent="0.4">
      <c r="AA80" t="s">
        <v>143</v>
      </c>
    </row>
    <row r="81" spans="2:27" x14ac:dyDescent="0.4">
      <c r="B81" s="10" t="s">
        <v>135</v>
      </c>
      <c r="C81" s="43" t="s">
        <v>866</v>
      </c>
      <c r="D81" s="43"/>
      <c r="E81" s="43"/>
      <c r="F81" s="43"/>
      <c r="G81" s="43"/>
    </row>
    <row r="82" spans="2:27" x14ac:dyDescent="0.4">
      <c r="B82" s="10" t="s">
        <v>1</v>
      </c>
      <c r="C82" s="5" t="s">
        <v>259</v>
      </c>
      <c r="D82" s="5" t="s">
        <v>307</v>
      </c>
      <c r="E82" s="5" t="s">
        <v>313</v>
      </c>
      <c r="F82" s="5" t="s">
        <v>216</v>
      </c>
      <c r="G82" s="5" t="s">
        <v>327</v>
      </c>
      <c r="H82" s="5" t="s">
        <v>520</v>
      </c>
      <c r="K82" s="12"/>
      <c r="L82" s="12"/>
      <c r="M82" s="12"/>
      <c r="N82" s="12"/>
      <c r="O82" s="12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4" t="str">
        <f>_xlfn.CONCAT("TRUNCATE ",C81,";")</f>
        <v>TRUNCATE tb_user;</v>
      </c>
    </row>
    <row r="83" spans="2:27" x14ac:dyDescent="0.4">
      <c r="B83" s="10" t="s">
        <v>3</v>
      </c>
      <c r="C83" s="5" t="s">
        <v>78</v>
      </c>
      <c r="D83" s="5" t="s">
        <v>79</v>
      </c>
      <c r="E83" s="5" t="s">
        <v>195</v>
      </c>
      <c r="F83" s="5" t="s">
        <v>218</v>
      </c>
      <c r="G83" s="5" t="s">
        <v>329</v>
      </c>
      <c r="H83" s="5" t="s">
        <v>330</v>
      </c>
      <c r="L83" s="12"/>
      <c r="M83" s="12"/>
      <c r="N83" s="12"/>
      <c r="O83" s="12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t="str">
        <f>_xlfn.CONCAT("INSERT INTO ",C81, "(", _xlfn.TEXTJOIN(",",TRUE,C82:Z82),") VALUES")</f>
        <v>INSERT INTO tb_user(USER_ID,USER_PW,USER_NM,ROLE_SEQ,FST_REG_SEQ,LST_UPD_SEQ) VALUES</v>
      </c>
    </row>
    <row r="84" spans="2:27" x14ac:dyDescent="0.4">
      <c r="B84" s="1">
        <v>1</v>
      </c>
      <c r="C84" s="1" t="s">
        <v>161</v>
      </c>
      <c r="D84" s="8" t="s">
        <v>490</v>
      </c>
      <c r="E84" s="1" t="s">
        <v>209</v>
      </c>
      <c r="F84" s="1">
        <v>3</v>
      </c>
      <c r="G84" s="1">
        <v>1</v>
      </c>
      <c r="H84" s="1">
        <v>1</v>
      </c>
      <c r="AA84" t="str">
        <f t="shared" ref="AA84:AA109" si="6">_xlfn.CONCAT(IF(B84=1,"",","),"(",_xlfn.TEXTJOIN(",",TRUE,C84:Z84),")")</f>
        <v>("admin","$2a$10$/RP1PNTCBU.yGj7yZeUDl.wtjmQ4wJ2jHlWEEhBVmknc5HqHp8WDG","관리자",3,1,1)</v>
      </c>
    </row>
    <row r="85" spans="2:27" x14ac:dyDescent="0.4">
      <c r="B85" s="1">
        <v>2</v>
      </c>
      <c r="C85" s="1" t="s">
        <v>269</v>
      </c>
      <c r="D85" s="8" t="s">
        <v>490</v>
      </c>
      <c r="E85" s="1" t="s">
        <v>889</v>
      </c>
      <c r="F85" s="1">
        <v>1</v>
      </c>
      <c r="G85" s="1">
        <v>1</v>
      </c>
      <c r="H85" s="1">
        <v>1</v>
      </c>
      <c r="AA85" t="str">
        <f t="shared" si="6"/>
        <v>,("user1","$2a$10$/RP1PNTCBU.yGj7yZeUDl.wtjmQ4wJ2jHlWEEhBVmknc5HqHp8WDG","고우호 매니저",1,1,1)</v>
      </c>
    </row>
    <row r="86" spans="2:27" x14ac:dyDescent="0.4">
      <c r="B86" s="1">
        <v>3</v>
      </c>
      <c r="C86" s="1" t="s">
        <v>270</v>
      </c>
      <c r="D86" s="8" t="s">
        <v>490</v>
      </c>
      <c r="E86" s="1" t="s">
        <v>894</v>
      </c>
      <c r="F86" s="1">
        <v>1</v>
      </c>
      <c r="G86" s="1">
        <v>1</v>
      </c>
      <c r="H86" s="1">
        <v>1</v>
      </c>
      <c r="AA86" t="str">
        <f t="shared" si="6"/>
        <v>,("user2","$2a$10$/RP1PNTCBU.yGj7yZeUDl.wtjmQ4wJ2jHlWEEhBVmknc5HqHp8WDG","김미숙쌤",1,1,1)</v>
      </c>
    </row>
    <row r="87" spans="2:27" x14ac:dyDescent="0.4">
      <c r="B87" s="1">
        <v>4</v>
      </c>
      <c r="C87" s="1" t="s">
        <v>271</v>
      </c>
      <c r="D87" s="8" t="s">
        <v>490</v>
      </c>
      <c r="E87" s="1" t="s">
        <v>895</v>
      </c>
      <c r="F87" s="1">
        <v>1</v>
      </c>
      <c r="G87" s="1">
        <v>1</v>
      </c>
      <c r="H87" s="1">
        <v>1</v>
      </c>
      <c r="AA87" t="str">
        <f t="shared" si="6"/>
        <v>,("user3","$2a$10$/RP1PNTCBU.yGj7yZeUDl.wtjmQ4wJ2jHlWEEhBVmknc5HqHp8WDG","김상민",1,1,1)</v>
      </c>
    </row>
    <row r="88" spans="2:27" x14ac:dyDescent="0.4">
      <c r="B88" s="1">
        <v>5</v>
      </c>
      <c r="C88" s="1" t="s">
        <v>272</v>
      </c>
      <c r="D88" s="8" t="s">
        <v>490</v>
      </c>
      <c r="E88" s="1" t="s">
        <v>896</v>
      </c>
      <c r="F88" s="1">
        <v>1</v>
      </c>
      <c r="G88" s="1">
        <v>1</v>
      </c>
      <c r="H88" s="1">
        <v>1</v>
      </c>
      <c r="AA88" t="str">
        <f t="shared" si="6"/>
        <v>,("user4","$2a$10$/RP1PNTCBU.yGj7yZeUDl.wtjmQ4wJ2jHlWEEhBVmknc5HqHp8WDG","김승련 팀장님",1,1,1)</v>
      </c>
    </row>
    <row r="89" spans="2:27" x14ac:dyDescent="0.4">
      <c r="B89" s="1">
        <v>6</v>
      </c>
      <c r="C89" s="1" t="s">
        <v>273</v>
      </c>
      <c r="D89" s="8" t="s">
        <v>490</v>
      </c>
      <c r="E89" s="1" t="s">
        <v>897</v>
      </c>
      <c r="F89" s="1">
        <v>1</v>
      </c>
      <c r="G89" s="1">
        <v>1</v>
      </c>
      <c r="H89" s="1">
        <v>1</v>
      </c>
      <c r="AA89" t="str">
        <f t="shared" si="6"/>
        <v>,("user5","$2a$10$/RP1PNTCBU.yGj7yZeUDl.wtjmQ4wJ2jHlWEEhBVmknc5HqHp8WDG","김승환",1,1,1)</v>
      </c>
    </row>
    <row r="90" spans="2:27" x14ac:dyDescent="0.4">
      <c r="B90" s="1">
        <v>7</v>
      </c>
      <c r="C90" s="1" t="s">
        <v>274</v>
      </c>
      <c r="D90" s="8" t="s">
        <v>490</v>
      </c>
      <c r="E90" s="1" t="s">
        <v>898</v>
      </c>
      <c r="F90" s="1">
        <v>1</v>
      </c>
      <c r="G90" s="1">
        <v>1</v>
      </c>
      <c r="H90" s="1">
        <v>1</v>
      </c>
      <c r="AA90" t="str">
        <f t="shared" si="6"/>
        <v>,("user6","$2a$10$/RP1PNTCBU.yGj7yZeUDl.wtjmQ4wJ2jHlWEEhBVmknc5HqHp8WDG","김영희쌤",1,1,1)</v>
      </c>
    </row>
    <row r="91" spans="2:27" x14ac:dyDescent="0.4">
      <c r="B91" s="1">
        <v>8</v>
      </c>
      <c r="C91" s="1" t="s">
        <v>275</v>
      </c>
      <c r="D91" s="8" t="s">
        <v>490</v>
      </c>
      <c r="E91" s="1" t="s">
        <v>899</v>
      </c>
      <c r="F91" s="1">
        <v>1</v>
      </c>
      <c r="G91" s="1">
        <v>1</v>
      </c>
      <c r="H91" s="1">
        <v>1</v>
      </c>
      <c r="AA91" t="str">
        <f t="shared" si="6"/>
        <v>,("user7","$2a$10$/RP1PNTCBU.yGj7yZeUDl.wtjmQ4wJ2jHlWEEhBVmknc5HqHp8WDG","김태연 프로",1,1,1)</v>
      </c>
    </row>
    <row r="92" spans="2:27" x14ac:dyDescent="0.4">
      <c r="B92" s="1">
        <v>9</v>
      </c>
      <c r="C92" s="1" t="s">
        <v>276</v>
      </c>
      <c r="D92" s="8" t="s">
        <v>490</v>
      </c>
      <c r="E92" s="1" t="s">
        <v>900</v>
      </c>
      <c r="F92" s="1">
        <v>1</v>
      </c>
      <c r="G92" s="1">
        <v>1</v>
      </c>
      <c r="H92" s="1">
        <v>1</v>
      </c>
      <c r="AA92" t="str">
        <f t="shared" si="6"/>
        <v>,("user8","$2a$10$/RP1PNTCBU.yGj7yZeUDl.wtjmQ4wJ2jHlWEEhBVmknc5HqHp8WDG","김현국 프로",1,1,1)</v>
      </c>
    </row>
    <row r="93" spans="2:27" x14ac:dyDescent="0.4">
      <c r="B93" s="1">
        <v>10</v>
      </c>
      <c r="C93" s="1" t="s">
        <v>277</v>
      </c>
      <c r="D93" s="8" t="s">
        <v>490</v>
      </c>
      <c r="E93" s="1" t="s">
        <v>901</v>
      </c>
      <c r="F93" s="1">
        <v>1</v>
      </c>
      <c r="G93" s="1">
        <v>1</v>
      </c>
      <c r="H93" s="1">
        <v>1</v>
      </c>
      <c r="AA93" t="str">
        <f t="shared" si="6"/>
        <v>,("user9","$2a$10$/RP1PNTCBU.yGj7yZeUDl.wtjmQ4wJ2jHlWEEhBVmknc5HqHp8WDG","김희영쌤",1,1,1)</v>
      </c>
    </row>
    <row r="94" spans="2:27" x14ac:dyDescent="0.4">
      <c r="B94" s="1">
        <v>11</v>
      </c>
      <c r="C94" s="1" t="s">
        <v>278</v>
      </c>
      <c r="D94" s="8" t="s">
        <v>490</v>
      </c>
      <c r="E94" s="1" t="s">
        <v>902</v>
      </c>
      <c r="F94" s="1">
        <v>1</v>
      </c>
      <c r="G94" s="1">
        <v>1</v>
      </c>
      <c r="H94" s="1">
        <v>1</v>
      </c>
      <c r="AA94" t="str">
        <f t="shared" si="6"/>
        <v>,("user10","$2a$10$/RP1PNTCBU.yGj7yZeUDl.wtjmQ4wJ2jHlWEEhBVmknc5HqHp8WDG","문미경쌤",1,1,1)</v>
      </c>
    </row>
    <row r="95" spans="2:27" x14ac:dyDescent="0.4">
      <c r="B95" s="1">
        <v>12</v>
      </c>
      <c r="C95" s="1" t="s">
        <v>279</v>
      </c>
      <c r="D95" s="8" t="s">
        <v>490</v>
      </c>
      <c r="E95" s="1" t="s">
        <v>903</v>
      </c>
      <c r="F95" s="1">
        <v>1</v>
      </c>
      <c r="G95" s="1">
        <v>1</v>
      </c>
      <c r="H95" s="1">
        <v>1</v>
      </c>
      <c r="AA95" t="str">
        <f t="shared" si="6"/>
        <v>,("user11","$2a$10$/RP1PNTCBU.yGj7yZeUDl.wtjmQ4wJ2jHlWEEhBVmknc5HqHp8WDG","박미정쌤",1,1,1)</v>
      </c>
    </row>
    <row r="96" spans="2:27" x14ac:dyDescent="0.4">
      <c r="B96" s="1">
        <v>13</v>
      </c>
      <c r="C96" s="1" t="s">
        <v>280</v>
      </c>
      <c r="D96" s="8" t="s">
        <v>490</v>
      </c>
      <c r="E96" s="1" t="s">
        <v>904</v>
      </c>
      <c r="F96" s="1">
        <v>1</v>
      </c>
      <c r="G96" s="1">
        <v>1</v>
      </c>
      <c r="H96" s="1">
        <v>1</v>
      </c>
      <c r="AA96" t="str">
        <f t="shared" si="6"/>
        <v>,("user12","$2a$10$/RP1PNTCBU.yGj7yZeUDl.wtjmQ4wJ2jHlWEEhBVmknc5HqHp8WDG","박진옥쌤",1,1,1)</v>
      </c>
    </row>
    <row r="97" spans="2:27" x14ac:dyDescent="0.4">
      <c r="B97" s="1">
        <v>14</v>
      </c>
      <c r="C97" s="1" t="s">
        <v>281</v>
      </c>
      <c r="D97" s="8" t="s">
        <v>490</v>
      </c>
      <c r="E97" s="1" t="s">
        <v>905</v>
      </c>
      <c r="F97" s="1">
        <v>1</v>
      </c>
      <c r="G97" s="1">
        <v>1</v>
      </c>
      <c r="H97" s="1">
        <v>1</v>
      </c>
      <c r="AA97" t="str">
        <f t="shared" si="6"/>
        <v>,("user13","$2a$10$/RP1PNTCBU.yGj7yZeUDl.wtjmQ4wJ2jHlWEEhBVmknc5HqHp8WDG","서상렬 매니저",1,1,1)</v>
      </c>
    </row>
    <row r="98" spans="2:27" x14ac:dyDescent="0.4">
      <c r="B98" s="1">
        <v>15</v>
      </c>
      <c r="C98" s="1" t="s">
        <v>282</v>
      </c>
      <c r="D98" s="8" t="s">
        <v>490</v>
      </c>
      <c r="E98" s="1" t="s">
        <v>906</v>
      </c>
      <c r="F98" s="1">
        <v>1</v>
      </c>
      <c r="G98" s="1">
        <v>1</v>
      </c>
      <c r="H98" s="1">
        <v>1</v>
      </c>
      <c r="AA98" t="str">
        <f t="shared" si="6"/>
        <v>,("user14","$2a$10$/RP1PNTCBU.yGj7yZeUDl.wtjmQ4wJ2jHlWEEhBVmknc5HqHp8WDG","신유수 매니저",1,1,1)</v>
      </c>
    </row>
    <row r="99" spans="2:27" x14ac:dyDescent="0.4">
      <c r="B99" s="1">
        <v>16</v>
      </c>
      <c r="C99" s="1" t="s">
        <v>283</v>
      </c>
      <c r="D99" s="8" t="s">
        <v>490</v>
      </c>
      <c r="E99" s="1" t="s">
        <v>907</v>
      </c>
      <c r="F99" s="1">
        <v>1</v>
      </c>
      <c r="G99" s="1">
        <v>1</v>
      </c>
      <c r="H99" s="1">
        <v>1</v>
      </c>
      <c r="AA99" t="str">
        <f t="shared" si="6"/>
        <v>,("user15","$2a$10$/RP1PNTCBU.yGj7yZeUDl.wtjmQ4wJ2jHlWEEhBVmknc5HqHp8WDG","아부지",1,1,1)</v>
      </c>
    </row>
    <row r="100" spans="2:27" x14ac:dyDescent="0.4">
      <c r="B100" s="1">
        <v>17</v>
      </c>
      <c r="C100" s="1" t="s">
        <v>284</v>
      </c>
      <c r="D100" s="8" t="s">
        <v>490</v>
      </c>
      <c r="E100" s="1" t="s">
        <v>908</v>
      </c>
      <c r="F100" s="1">
        <v>1</v>
      </c>
      <c r="G100" s="1">
        <v>1</v>
      </c>
      <c r="H100" s="1">
        <v>1</v>
      </c>
      <c r="AA100" t="str">
        <f t="shared" si="6"/>
        <v>,("user16","$2a$10$/RP1PNTCBU.yGj7yZeUDl.wtjmQ4wJ2jHlWEEhBVmknc5HqHp8WDG","안대원 매니저",1,1,1)</v>
      </c>
    </row>
    <row r="101" spans="2:27" x14ac:dyDescent="0.4">
      <c r="B101" s="1">
        <v>18</v>
      </c>
      <c r="C101" s="1" t="s">
        <v>285</v>
      </c>
      <c r="D101" s="8" t="s">
        <v>490</v>
      </c>
      <c r="E101" s="1" t="s">
        <v>909</v>
      </c>
      <c r="F101" s="1">
        <v>1</v>
      </c>
      <c r="G101" s="1">
        <v>1</v>
      </c>
      <c r="H101" s="1">
        <v>1</v>
      </c>
      <c r="AA101" t="str">
        <f t="shared" si="6"/>
        <v>,("user17","$2a$10$/RP1PNTCBU.yGj7yZeUDl.wtjmQ4wJ2jHlWEEhBVmknc5HqHp8WDG","어무이",1,1,1)</v>
      </c>
    </row>
    <row r="102" spans="2:27" x14ac:dyDescent="0.4">
      <c r="B102" s="1">
        <v>19</v>
      </c>
      <c r="C102" s="1" t="s">
        <v>286</v>
      </c>
      <c r="D102" s="8" t="s">
        <v>490</v>
      </c>
      <c r="E102" s="1" t="s">
        <v>910</v>
      </c>
      <c r="F102" s="1">
        <v>1</v>
      </c>
      <c r="G102" s="1">
        <v>1</v>
      </c>
      <c r="H102" s="1">
        <v>1</v>
      </c>
      <c r="AA102" t="str">
        <f t="shared" si="6"/>
        <v>,("user18","$2a$10$/RP1PNTCBU.yGj7yZeUDl.wtjmQ4wJ2jHlWEEhBVmknc5HqHp8WDG","이규진 프로",1,1,1)</v>
      </c>
    </row>
    <row r="103" spans="2:27" x14ac:dyDescent="0.4">
      <c r="B103" s="1">
        <v>20</v>
      </c>
      <c r="C103" s="1" t="s">
        <v>287</v>
      </c>
      <c r="D103" s="8" t="s">
        <v>490</v>
      </c>
      <c r="E103" s="1" t="s">
        <v>911</v>
      </c>
      <c r="F103" s="1">
        <v>1</v>
      </c>
      <c r="G103" s="1">
        <v>1</v>
      </c>
      <c r="H103" s="1">
        <v>1</v>
      </c>
      <c r="AA103" t="str">
        <f t="shared" si="6"/>
        <v>,("user19","$2a$10$/RP1PNTCBU.yGj7yZeUDl.wtjmQ4wJ2jHlWEEhBVmknc5HqHp8WDG","이은욱쌤",1,1,1)</v>
      </c>
    </row>
    <row r="104" spans="2:27" x14ac:dyDescent="0.4">
      <c r="B104" s="1">
        <v>21</v>
      </c>
      <c r="C104" s="1" t="s">
        <v>288</v>
      </c>
      <c r="D104" s="8" t="s">
        <v>490</v>
      </c>
      <c r="E104" s="1" t="s">
        <v>912</v>
      </c>
      <c r="F104" s="1">
        <v>1</v>
      </c>
      <c r="G104" s="1">
        <v>1</v>
      </c>
      <c r="H104" s="1">
        <v>1</v>
      </c>
      <c r="AA104" t="str">
        <f t="shared" si="6"/>
        <v>,("user20","$2a$10$/RP1PNTCBU.yGj7yZeUDl.wtjmQ4wJ2jHlWEEhBVmknc5HqHp8WDG","이정희쌤",1,1,1)</v>
      </c>
    </row>
    <row r="105" spans="2:27" x14ac:dyDescent="0.4">
      <c r="B105" s="1">
        <v>21</v>
      </c>
      <c r="C105" s="1" t="s">
        <v>890</v>
      </c>
      <c r="D105" s="8" t="s">
        <v>490</v>
      </c>
      <c r="E105" s="1" t="s">
        <v>913</v>
      </c>
      <c r="F105" s="1">
        <v>1</v>
      </c>
      <c r="G105" s="1">
        <v>1</v>
      </c>
      <c r="H105" s="1">
        <v>1</v>
      </c>
      <c r="AA105" t="str">
        <f t="shared" ref="AA105:AA107" si="7">_xlfn.CONCAT(IF(B105=1,"",","),"(",_xlfn.TEXTJOIN(",",TRUE,C105:Z105),")")</f>
        <v>,("user21","$2a$10$/RP1PNTCBU.yGj7yZeUDl.wtjmQ4wJ2jHlWEEhBVmknc5HqHp8WDG","이희영 프로",1,1,1)</v>
      </c>
    </row>
    <row r="106" spans="2:27" x14ac:dyDescent="0.4">
      <c r="B106" s="1">
        <v>20</v>
      </c>
      <c r="C106" s="1" t="s">
        <v>891</v>
      </c>
      <c r="D106" s="8" t="s">
        <v>490</v>
      </c>
      <c r="E106" s="1" t="s">
        <v>914</v>
      </c>
      <c r="F106" s="1">
        <v>1</v>
      </c>
      <c r="G106" s="1">
        <v>1</v>
      </c>
      <c r="H106" s="1">
        <v>1</v>
      </c>
      <c r="AA106" t="str">
        <f t="shared" si="7"/>
        <v>,("user22","$2a$10$/RP1PNTCBU.yGj7yZeUDl.wtjmQ4wJ2jHlWEEhBVmknc5HqHp8WDG","전진미 프로",1,1,1)</v>
      </c>
    </row>
    <row r="107" spans="2:27" x14ac:dyDescent="0.4">
      <c r="B107" s="1">
        <v>21</v>
      </c>
      <c r="C107" s="1" t="s">
        <v>892</v>
      </c>
      <c r="D107" s="8" t="s">
        <v>490</v>
      </c>
      <c r="E107" s="1" t="s">
        <v>915</v>
      </c>
      <c r="F107" s="1">
        <v>1</v>
      </c>
      <c r="G107" s="1">
        <v>1</v>
      </c>
      <c r="H107" s="1">
        <v>1</v>
      </c>
      <c r="AA107" t="str">
        <f t="shared" si="7"/>
        <v>,("user23","$2a$10$/RP1PNTCBU.yGj7yZeUDl.wtjmQ4wJ2jHlWEEhBVmknc5HqHp8WDG","현승문 매니저",1,1,1)</v>
      </c>
    </row>
    <row r="108" spans="2:27" x14ac:dyDescent="0.4">
      <c r="B108" s="1">
        <v>21</v>
      </c>
      <c r="C108" s="1" t="s">
        <v>893</v>
      </c>
      <c r="D108" s="8" t="s">
        <v>490</v>
      </c>
      <c r="E108" s="1" t="s">
        <v>916</v>
      </c>
      <c r="F108" s="1">
        <v>1</v>
      </c>
      <c r="G108" s="1">
        <v>1</v>
      </c>
      <c r="H108" s="1">
        <v>1</v>
      </c>
      <c r="AA108" t="str">
        <f t="shared" ref="AA108" si="8">_xlfn.CONCAT(IF(B108=1,"",","),"(",_xlfn.TEXTJOIN(",",TRUE,C108:Z108),")")</f>
        <v>,("user24","$2a$10$/RP1PNTCBU.yGj7yZeUDl.wtjmQ4wJ2jHlWEEhBVmknc5HqHp8WDG","홍현철 매니저",1,1,1)</v>
      </c>
    </row>
    <row r="109" spans="2:27" x14ac:dyDescent="0.4">
      <c r="B109" s="1">
        <v>22</v>
      </c>
      <c r="C109" s="1" t="s">
        <v>302</v>
      </c>
      <c r="D109" s="8" t="s">
        <v>490</v>
      </c>
      <c r="E109" s="1" t="s">
        <v>303</v>
      </c>
      <c r="F109" s="1">
        <v>2</v>
      </c>
      <c r="G109" s="1">
        <v>1</v>
      </c>
      <c r="H109" s="1">
        <v>1</v>
      </c>
      <c r="AA109" t="str">
        <f t="shared" si="6"/>
        <v>,("guest1","$2a$10$/RP1PNTCBU.yGj7yZeUDl.wtjmQ4wJ2jHlWEEhBVmknc5HqHp8WDG","게스트1",2,1,1)</v>
      </c>
    </row>
    <row r="110" spans="2:27" x14ac:dyDescent="0.4">
      <c r="AA110" t="s">
        <v>143</v>
      </c>
    </row>
    <row r="111" spans="2:27" x14ac:dyDescent="0.4">
      <c r="B111" s="10" t="s">
        <v>135</v>
      </c>
      <c r="C111" s="44" t="s">
        <v>875</v>
      </c>
      <c r="D111" s="45"/>
      <c r="E111" s="45"/>
      <c r="F111" s="45"/>
      <c r="G111" s="45"/>
      <c r="H111" s="46"/>
    </row>
    <row r="112" spans="2:27" x14ac:dyDescent="0.4">
      <c r="B112" s="10" t="s">
        <v>1</v>
      </c>
      <c r="C112" s="10" t="s">
        <v>216</v>
      </c>
      <c r="D112" s="10" t="s">
        <v>217</v>
      </c>
      <c r="E112" s="10" t="s">
        <v>263</v>
      </c>
      <c r="F112" s="10" t="s">
        <v>265</v>
      </c>
      <c r="G112" s="10" t="s">
        <v>327</v>
      </c>
      <c r="H112" s="5" t="s">
        <v>520</v>
      </c>
      <c r="K112" s="12"/>
      <c r="L112" s="12"/>
      <c r="M112" s="12"/>
      <c r="N112" s="12"/>
      <c r="O112" s="12"/>
      <c r="R112" s="13"/>
      <c r="S112" s="13"/>
      <c r="T112" s="13"/>
      <c r="U112" s="13"/>
      <c r="V112" s="13"/>
      <c r="W112" s="13"/>
      <c r="X112" s="13"/>
      <c r="Y112" s="13"/>
      <c r="Z112" s="13"/>
      <c r="AA112" s="14" t="str">
        <f>_xlfn.CONCAT("TRUNCATE ",C111,";")</f>
        <v>TRUNCATE tb_role;</v>
      </c>
    </row>
    <row r="113" spans="2:27" x14ac:dyDescent="0.4">
      <c r="B113" s="10" t="s">
        <v>3</v>
      </c>
      <c r="C113" s="10" t="s">
        <v>218</v>
      </c>
      <c r="D113" s="10" t="s">
        <v>219</v>
      </c>
      <c r="E113" s="10" t="s">
        <v>221</v>
      </c>
      <c r="F113" s="10" t="s">
        <v>222</v>
      </c>
      <c r="G113" s="10" t="s">
        <v>329</v>
      </c>
      <c r="H113" s="5" t="s">
        <v>330</v>
      </c>
      <c r="K113" s="12"/>
      <c r="L113" s="12"/>
      <c r="M113" s="12"/>
      <c r="N113" s="12"/>
      <c r="O113" s="12"/>
      <c r="R113" s="13"/>
      <c r="S113" s="13"/>
      <c r="T113" s="13"/>
      <c r="U113" s="13"/>
      <c r="V113" s="13"/>
      <c r="W113" s="13"/>
      <c r="X113" s="13"/>
      <c r="Y113" s="13"/>
      <c r="Z113" s="13"/>
      <c r="AA113" t="str">
        <f>_xlfn.CONCAT("INSERT INTO ",C111, "(", _xlfn.TEXTJOIN(",",TRUE,C112:Z112),") VALUES")</f>
        <v>INSERT INTO tb_role(ROLE_SEQ,ROLE_NM,ROLE_ORDER,RMRK,FST_REG_SEQ,LST_UPD_SEQ) VALUES</v>
      </c>
    </row>
    <row r="114" spans="2:27" x14ac:dyDescent="0.4">
      <c r="B114" s="1">
        <v>1</v>
      </c>
      <c r="C114" s="1">
        <v>1</v>
      </c>
      <c r="D114" s="8" t="s">
        <v>215</v>
      </c>
      <c r="E114" s="1">
        <v>1</v>
      </c>
      <c r="F114" s="1" t="s">
        <v>266</v>
      </c>
      <c r="G114" s="1">
        <v>1</v>
      </c>
      <c r="H114" s="1">
        <v>1</v>
      </c>
      <c r="AA114" t="str">
        <f>_xlfn.CONCAT(IF(B114=1,"",","),"(",_xlfn.TEXTJOIN(",",TRUE,C114:Z114),")")</f>
        <v>(1,"사용자",1,"시스템 사용자의 기본 권한",1,1)</v>
      </c>
    </row>
    <row r="115" spans="2:27" x14ac:dyDescent="0.4">
      <c r="B115" s="1">
        <v>2</v>
      </c>
      <c r="C115" s="1">
        <v>2</v>
      </c>
      <c r="D115" s="8" t="s">
        <v>229</v>
      </c>
      <c r="E115" s="1">
        <v>2</v>
      </c>
      <c r="F115" s="1" t="s">
        <v>267</v>
      </c>
      <c r="G115" s="1">
        <v>1</v>
      </c>
      <c r="H115" s="1">
        <v>1</v>
      </c>
      <c r="AA115" t="str">
        <f>_xlfn.CONCAT(IF(B115=1,"",","),"(",_xlfn.TEXTJOIN(",",TRUE,C115:Z115),")")</f>
        <v>,(2,"게스트",2,"프로젝트 열람을 위한 권한",1,1)</v>
      </c>
    </row>
    <row r="116" spans="2:27" x14ac:dyDescent="0.4">
      <c r="B116" s="1">
        <v>2</v>
      </c>
      <c r="C116" s="1">
        <v>3</v>
      </c>
      <c r="D116" s="8" t="s">
        <v>209</v>
      </c>
      <c r="E116" s="1">
        <v>3</v>
      </c>
      <c r="F116" s="1" t="s">
        <v>268</v>
      </c>
      <c r="G116" s="1">
        <v>1</v>
      </c>
      <c r="H116" s="1">
        <v>1</v>
      </c>
      <c r="AA116" t="str">
        <f>_xlfn.CONCAT(IF(B116=1,"",","),"(",_xlfn.TEXTJOIN(",",TRUE,C116:Z116),")")</f>
        <v>,(3,"관리자",3,"시스템 관리자 권한",1,1)</v>
      </c>
    </row>
    <row r="117" spans="2:27" x14ac:dyDescent="0.4">
      <c r="AA117" t="s">
        <v>143</v>
      </c>
    </row>
    <row r="118" spans="2:27" x14ac:dyDescent="0.4">
      <c r="B118" s="10" t="s">
        <v>135</v>
      </c>
      <c r="C118" s="43" t="s">
        <v>876</v>
      </c>
      <c r="D118" s="43"/>
      <c r="E118" s="43"/>
      <c r="F118" s="43"/>
    </row>
    <row r="119" spans="2:27" x14ac:dyDescent="0.4">
      <c r="B119" s="10" t="s">
        <v>1</v>
      </c>
      <c r="C119" s="10" t="s">
        <v>324</v>
      </c>
      <c r="D119" s="10" t="s">
        <v>216</v>
      </c>
      <c r="E119" s="10" t="s">
        <v>327</v>
      </c>
      <c r="F119" s="5" t="s">
        <v>520</v>
      </c>
      <c r="K119" s="12"/>
      <c r="L119" s="12"/>
      <c r="M119" s="12"/>
      <c r="N119" s="12"/>
      <c r="O119" s="12"/>
      <c r="R119" s="13"/>
      <c r="S119" s="13"/>
      <c r="T119" s="13"/>
      <c r="U119" s="13"/>
      <c r="V119" s="13"/>
      <c r="W119" s="13"/>
      <c r="X119" s="13"/>
      <c r="Y119" s="13"/>
      <c r="Z119" s="13"/>
      <c r="AA119" s="14" t="str">
        <f>_xlfn.CONCAT("TRUNCATE ",C118,";")</f>
        <v>TRUNCATE tb_user_role_map;</v>
      </c>
    </row>
    <row r="120" spans="2:27" x14ac:dyDescent="0.4">
      <c r="B120" s="10" t="s">
        <v>3</v>
      </c>
      <c r="C120" s="10" t="s">
        <v>325</v>
      </c>
      <c r="D120" s="10" t="s">
        <v>218</v>
      </c>
      <c r="E120" s="10" t="s">
        <v>329</v>
      </c>
      <c r="F120" s="5" t="s">
        <v>330</v>
      </c>
      <c r="K120" s="12"/>
      <c r="L120" s="12"/>
      <c r="M120" s="12"/>
      <c r="N120" s="12"/>
      <c r="O120" s="12"/>
      <c r="R120" s="13"/>
      <c r="S120" s="13"/>
      <c r="T120" s="13"/>
      <c r="U120" s="13"/>
      <c r="V120" s="13"/>
      <c r="W120" s="13"/>
      <c r="X120" s="13"/>
      <c r="Y120" s="13"/>
      <c r="Z120" s="13"/>
      <c r="AA120" t="str">
        <f>_xlfn.CONCAT("INSERT INTO ",C118, "(", _xlfn.TEXTJOIN(",",TRUE,C119:Z119),") VALUES")</f>
        <v>INSERT INTO tb_user_role_map(USER_SEQ,ROLE_SEQ,FST_REG_SEQ,LST_UPD_SEQ) VALUES</v>
      </c>
    </row>
    <row r="121" spans="2:27" x14ac:dyDescent="0.4">
      <c r="B121" s="1">
        <v>1</v>
      </c>
      <c r="C121" s="1">
        <v>1</v>
      </c>
      <c r="D121" s="8">
        <v>3</v>
      </c>
      <c r="E121" s="1">
        <v>1</v>
      </c>
      <c r="F121" s="1">
        <v>1</v>
      </c>
      <c r="AA121" t="str">
        <f t="shared" ref="AA121:AA161" si="9">_xlfn.CONCAT(IF(B121=1,"",","),"(",_xlfn.TEXTJOIN(",",TRUE,C121:Z121),")")</f>
        <v>(1,3,1,1)</v>
      </c>
    </row>
    <row r="122" spans="2:27" x14ac:dyDescent="0.4">
      <c r="B122" s="1">
        <v>2</v>
      </c>
      <c r="C122" s="1">
        <v>2</v>
      </c>
      <c r="D122" s="8">
        <v>1</v>
      </c>
      <c r="E122" s="1">
        <v>1</v>
      </c>
      <c r="F122" s="1">
        <v>1</v>
      </c>
      <c r="AA122" t="str">
        <f t="shared" si="9"/>
        <v>,(2,1,1,1)</v>
      </c>
    </row>
    <row r="123" spans="2:27" x14ac:dyDescent="0.4">
      <c r="B123" s="1">
        <v>3</v>
      </c>
      <c r="C123" s="1">
        <v>3</v>
      </c>
      <c r="D123" s="8">
        <v>1</v>
      </c>
      <c r="E123" s="1">
        <v>1</v>
      </c>
      <c r="F123" s="1">
        <v>1</v>
      </c>
      <c r="AA123" t="str">
        <f t="shared" si="9"/>
        <v>,(3,1,1,1)</v>
      </c>
    </row>
    <row r="124" spans="2:27" x14ac:dyDescent="0.4">
      <c r="B124" s="1">
        <v>4</v>
      </c>
      <c r="C124" s="1">
        <v>4</v>
      </c>
      <c r="D124" s="8">
        <v>1</v>
      </c>
      <c r="E124" s="1">
        <v>1</v>
      </c>
      <c r="F124" s="1">
        <v>1</v>
      </c>
      <c r="AA124" t="str">
        <f t="shared" si="9"/>
        <v>,(4,1,1,1)</v>
      </c>
    </row>
    <row r="125" spans="2:27" x14ac:dyDescent="0.4">
      <c r="B125" s="1">
        <v>5</v>
      </c>
      <c r="C125" s="1">
        <v>5</v>
      </c>
      <c r="D125" s="8">
        <v>1</v>
      </c>
      <c r="E125" s="1">
        <v>1</v>
      </c>
      <c r="F125" s="1">
        <v>1</v>
      </c>
      <c r="AA125" t="str">
        <f t="shared" si="9"/>
        <v>,(5,1,1,1)</v>
      </c>
    </row>
    <row r="126" spans="2:27" x14ac:dyDescent="0.4">
      <c r="B126" s="1">
        <v>6</v>
      </c>
      <c r="C126" s="1">
        <v>6</v>
      </c>
      <c r="D126" s="8">
        <v>1</v>
      </c>
      <c r="E126" s="1">
        <v>1</v>
      </c>
      <c r="F126" s="1">
        <v>1</v>
      </c>
      <c r="AA126" t="str">
        <f t="shared" si="9"/>
        <v>,(6,1,1,1)</v>
      </c>
    </row>
    <row r="127" spans="2:27" x14ac:dyDescent="0.4">
      <c r="B127" s="1">
        <v>7</v>
      </c>
      <c r="C127" s="1">
        <v>7</v>
      </c>
      <c r="D127" s="8">
        <v>1</v>
      </c>
      <c r="E127" s="1">
        <v>1</v>
      </c>
      <c r="F127" s="1">
        <v>1</v>
      </c>
      <c r="AA127" t="str">
        <f t="shared" si="9"/>
        <v>,(7,1,1,1)</v>
      </c>
    </row>
    <row r="128" spans="2:27" x14ac:dyDescent="0.4">
      <c r="B128" s="1">
        <v>8</v>
      </c>
      <c r="C128" s="1">
        <v>8</v>
      </c>
      <c r="D128" s="8">
        <v>1</v>
      </c>
      <c r="E128" s="1">
        <v>1</v>
      </c>
      <c r="F128" s="1">
        <v>1</v>
      </c>
      <c r="AA128" t="str">
        <f t="shared" si="9"/>
        <v>,(8,1,1,1)</v>
      </c>
    </row>
    <row r="129" spans="2:27" x14ac:dyDescent="0.4">
      <c r="B129" s="1">
        <v>9</v>
      </c>
      <c r="C129" s="1">
        <v>9</v>
      </c>
      <c r="D129" s="8">
        <v>1</v>
      </c>
      <c r="E129" s="1">
        <v>1</v>
      </c>
      <c r="F129" s="1">
        <v>1</v>
      </c>
      <c r="AA129" t="str">
        <f t="shared" si="9"/>
        <v>,(9,1,1,1)</v>
      </c>
    </row>
    <row r="130" spans="2:27" x14ac:dyDescent="0.4">
      <c r="B130" s="1">
        <v>10</v>
      </c>
      <c r="C130" s="1">
        <v>10</v>
      </c>
      <c r="D130" s="8">
        <v>1</v>
      </c>
      <c r="E130" s="1">
        <v>1</v>
      </c>
      <c r="F130" s="1">
        <v>1</v>
      </c>
      <c r="AA130" t="str">
        <f t="shared" si="9"/>
        <v>,(10,1,1,1)</v>
      </c>
    </row>
    <row r="131" spans="2:27" x14ac:dyDescent="0.4">
      <c r="B131" s="1">
        <v>11</v>
      </c>
      <c r="C131" s="1">
        <v>11</v>
      </c>
      <c r="D131" s="8">
        <v>1</v>
      </c>
      <c r="E131" s="1">
        <v>1</v>
      </c>
      <c r="F131" s="1">
        <v>1</v>
      </c>
      <c r="AA131" t="str">
        <f t="shared" si="9"/>
        <v>,(11,1,1,1)</v>
      </c>
    </row>
    <row r="132" spans="2:27" x14ac:dyDescent="0.4">
      <c r="B132" s="1">
        <v>12</v>
      </c>
      <c r="C132" s="1">
        <v>12</v>
      </c>
      <c r="D132" s="8">
        <v>1</v>
      </c>
      <c r="E132" s="1">
        <v>1</v>
      </c>
      <c r="F132" s="1">
        <v>1</v>
      </c>
      <c r="AA132" t="str">
        <f t="shared" si="9"/>
        <v>,(12,1,1,1)</v>
      </c>
    </row>
    <row r="133" spans="2:27" x14ac:dyDescent="0.4">
      <c r="B133" s="1">
        <v>13</v>
      </c>
      <c r="C133" s="1">
        <v>13</v>
      </c>
      <c r="D133" s="8">
        <v>1</v>
      </c>
      <c r="E133" s="1">
        <v>1</v>
      </c>
      <c r="F133" s="1">
        <v>1</v>
      </c>
      <c r="AA133" t="str">
        <f t="shared" si="9"/>
        <v>,(13,1,1,1)</v>
      </c>
    </row>
    <row r="134" spans="2:27" x14ac:dyDescent="0.4">
      <c r="B134" s="1">
        <v>14</v>
      </c>
      <c r="C134" s="1">
        <v>14</v>
      </c>
      <c r="D134" s="8">
        <v>1</v>
      </c>
      <c r="E134" s="1">
        <v>1</v>
      </c>
      <c r="F134" s="1">
        <v>1</v>
      </c>
      <c r="AA134" t="str">
        <f t="shared" si="9"/>
        <v>,(14,1,1,1)</v>
      </c>
    </row>
    <row r="135" spans="2:27" x14ac:dyDescent="0.4">
      <c r="B135" s="1">
        <v>15</v>
      </c>
      <c r="C135" s="1">
        <v>15</v>
      </c>
      <c r="D135" s="8">
        <v>1</v>
      </c>
      <c r="E135" s="1">
        <v>1</v>
      </c>
      <c r="F135" s="1">
        <v>1</v>
      </c>
      <c r="AA135" t="str">
        <f t="shared" si="9"/>
        <v>,(15,1,1,1)</v>
      </c>
    </row>
    <row r="136" spans="2:27" x14ac:dyDescent="0.4">
      <c r="B136" s="1">
        <v>16</v>
      </c>
      <c r="C136" s="1">
        <v>16</v>
      </c>
      <c r="D136" s="8">
        <v>1</v>
      </c>
      <c r="E136" s="1">
        <v>1</v>
      </c>
      <c r="F136" s="1">
        <v>1</v>
      </c>
      <c r="AA136" t="str">
        <f t="shared" si="9"/>
        <v>,(16,1,1,1)</v>
      </c>
    </row>
    <row r="137" spans="2:27" x14ac:dyDescent="0.4">
      <c r="B137" s="1">
        <v>17</v>
      </c>
      <c r="C137" s="1">
        <v>17</v>
      </c>
      <c r="D137" s="8">
        <v>1</v>
      </c>
      <c r="E137" s="1">
        <v>1</v>
      </c>
      <c r="F137" s="1">
        <v>1</v>
      </c>
      <c r="AA137" t="str">
        <f t="shared" si="9"/>
        <v>,(17,1,1,1)</v>
      </c>
    </row>
    <row r="138" spans="2:27" x14ac:dyDescent="0.4">
      <c r="B138" s="1">
        <v>18</v>
      </c>
      <c r="C138" s="1">
        <v>18</v>
      </c>
      <c r="D138" s="8">
        <v>1</v>
      </c>
      <c r="E138" s="1">
        <v>1</v>
      </c>
      <c r="F138" s="1">
        <v>1</v>
      </c>
      <c r="AA138" t="str">
        <f t="shared" si="9"/>
        <v>,(18,1,1,1)</v>
      </c>
    </row>
    <row r="139" spans="2:27" x14ac:dyDescent="0.4">
      <c r="B139" s="1">
        <v>19</v>
      </c>
      <c r="C139" s="1">
        <v>19</v>
      </c>
      <c r="D139" s="8">
        <v>1</v>
      </c>
      <c r="E139" s="1">
        <v>1</v>
      </c>
      <c r="F139" s="1">
        <v>1</v>
      </c>
      <c r="AA139" t="str">
        <f t="shared" si="9"/>
        <v>,(19,1,1,1)</v>
      </c>
    </row>
    <row r="140" spans="2:27" x14ac:dyDescent="0.4">
      <c r="B140" s="1">
        <v>20</v>
      </c>
      <c r="C140" s="1">
        <v>20</v>
      </c>
      <c r="D140" s="8">
        <v>1</v>
      </c>
      <c r="E140" s="1">
        <v>1</v>
      </c>
      <c r="F140" s="1">
        <v>1</v>
      </c>
      <c r="AA140" t="str">
        <f t="shared" si="9"/>
        <v>,(20,1,1,1)</v>
      </c>
    </row>
    <row r="141" spans="2:27" x14ac:dyDescent="0.4">
      <c r="B141" s="1">
        <v>21</v>
      </c>
      <c r="C141" s="1">
        <v>21</v>
      </c>
      <c r="D141" s="8">
        <v>1</v>
      </c>
      <c r="E141" s="1">
        <v>1</v>
      </c>
      <c r="F141" s="1">
        <v>1</v>
      </c>
      <c r="AA141" t="str">
        <f t="shared" si="9"/>
        <v>,(21,1,1,1)</v>
      </c>
    </row>
    <row r="142" spans="2:27" x14ac:dyDescent="0.4">
      <c r="B142" s="1">
        <v>2</v>
      </c>
      <c r="C142" s="1">
        <v>22</v>
      </c>
      <c r="D142" s="8">
        <v>2</v>
      </c>
      <c r="E142" s="1">
        <v>1</v>
      </c>
      <c r="F142" s="1">
        <v>1</v>
      </c>
      <c r="AA142" t="str">
        <f t="shared" si="9"/>
        <v>,(22,2,1,1)</v>
      </c>
    </row>
    <row r="143" spans="2:27" x14ac:dyDescent="0.4">
      <c r="B143" s="1">
        <v>3</v>
      </c>
      <c r="C143" s="1">
        <v>23</v>
      </c>
      <c r="D143" s="8">
        <v>2</v>
      </c>
      <c r="E143" s="1">
        <v>1</v>
      </c>
      <c r="F143" s="1">
        <v>1</v>
      </c>
      <c r="AA143" t="str">
        <f t="shared" si="9"/>
        <v>,(23,2,1,1)</v>
      </c>
    </row>
    <row r="144" spans="2:27" x14ac:dyDescent="0.4">
      <c r="B144" s="1">
        <v>4</v>
      </c>
      <c r="C144" s="1">
        <v>24</v>
      </c>
      <c r="D144" s="8">
        <v>2</v>
      </c>
      <c r="E144" s="1">
        <v>1</v>
      </c>
      <c r="F144" s="1">
        <v>1</v>
      </c>
      <c r="AA144" t="str">
        <f t="shared" si="9"/>
        <v>,(24,2,1,1)</v>
      </c>
    </row>
    <row r="145" spans="2:27" x14ac:dyDescent="0.4">
      <c r="B145" s="1">
        <v>5</v>
      </c>
      <c r="C145" s="1">
        <v>25</v>
      </c>
      <c r="D145" s="8">
        <v>2</v>
      </c>
      <c r="E145" s="1">
        <v>1</v>
      </c>
      <c r="F145" s="1">
        <v>1</v>
      </c>
      <c r="AA145" t="str">
        <f t="shared" si="9"/>
        <v>,(25,2,1,1)</v>
      </c>
    </row>
    <row r="146" spans="2:27" x14ac:dyDescent="0.4">
      <c r="B146" s="1">
        <v>6</v>
      </c>
      <c r="C146" s="1">
        <v>26</v>
      </c>
      <c r="D146" s="8">
        <v>2</v>
      </c>
      <c r="E146" s="1">
        <v>1</v>
      </c>
      <c r="F146" s="1">
        <v>1</v>
      </c>
      <c r="AA146" t="str">
        <f t="shared" si="9"/>
        <v>,(26,2,1,1)</v>
      </c>
    </row>
    <row r="147" spans="2:27" x14ac:dyDescent="0.4">
      <c r="B147" s="1">
        <v>7</v>
      </c>
      <c r="C147" s="1">
        <v>27</v>
      </c>
      <c r="D147" s="8">
        <v>2</v>
      </c>
      <c r="E147" s="1">
        <v>1</v>
      </c>
      <c r="F147" s="1">
        <v>1</v>
      </c>
      <c r="AA147" t="str">
        <f t="shared" si="9"/>
        <v>,(27,2,1,1)</v>
      </c>
    </row>
    <row r="148" spans="2:27" x14ac:dyDescent="0.4">
      <c r="B148" s="1">
        <v>8</v>
      </c>
      <c r="C148" s="1">
        <v>28</v>
      </c>
      <c r="D148" s="8">
        <v>2</v>
      </c>
      <c r="E148" s="1">
        <v>1</v>
      </c>
      <c r="F148" s="1">
        <v>1</v>
      </c>
      <c r="AA148" t="str">
        <f t="shared" si="9"/>
        <v>,(28,2,1,1)</v>
      </c>
    </row>
    <row r="149" spans="2:27" x14ac:dyDescent="0.4">
      <c r="B149" s="1">
        <v>9</v>
      </c>
      <c r="C149" s="1">
        <v>29</v>
      </c>
      <c r="D149" s="8">
        <v>2</v>
      </c>
      <c r="E149" s="1">
        <v>1</v>
      </c>
      <c r="F149" s="1">
        <v>1</v>
      </c>
      <c r="AA149" t="str">
        <f t="shared" si="9"/>
        <v>,(29,2,1,1)</v>
      </c>
    </row>
    <row r="150" spans="2:27" x14ac:dyDescent="0.4">
      <c r="B150" s="1">
        <v>10</v>
      </c>
      <c r="C150" s="1">
        <v>30</v>
      </c>
      <c r="D150" s="8">
        <v>2</v>
      </c>
      <c r="E150" s="1">
        <v>1</v>
      </c>
      <c r="F150" s="1">
        <v>1</v>
      </c>
      <c r="AA150" t="str">
        <f t="shared" si="9"/>
        <v>,(30,2,1,1)</v>
      </c>
    </row>
    <row r="151" spans="2:27" x14ac:dyDescent="0.4">
      <c r="B151" s="1">
        <v>11</v>
      </c>
      <c r="C151" s="1">
        <v>31</v>
      </c>
      <c r="D151" s="8">
        <v>2</v>
      </c>
      <c r="E151" s="1">
        <v>1</v>
      </c>
      <c r="F151" s="1">
        <v>1</v>
      </c>
      <c r="AA151" t="str">
        <f t="shared" si="9"/>
        <v>,(31,2,1,1)</v>
      </c>
    </row>
    <row r="152" spans="2:27" x14ac:dyDescent="0.4">
      <c r="B152" s="1">
        <v>12</v>
      </c>
      <c r="C152" s="1">
        <v>32</v>
      </c>
      <c r="D152" s="8">
        <v>2</v>
      </c>
      <c r="E152" s="1">
        <v>1</v>
      </c>
      <c r="F152" s="1">
        <v>1</v>
      </c>
      <c r="AA152" t="str">
        <f t="shared" si="9"/>
        <v>,(32,2,1,1)</v>
      </c>
    </row>
    <row r="153" spans="2:27" x14ac:dyDescent="0.4">
      <c r="B153" s="1">
        <v>13</v>
      </c>
      <c r="C153" s="1">
        <v>33</v>
      </c>
      <c r="D153" s="8">
        <v>2</v>
      </c>
      <c r="E153" s="1">
        <v>1</v>
      </c>
      <c r="F153" s="1">
        <v>1</v>
      </c>
      <c r="AA153" t="str">
        <f t="shared" si="9"/>
        <v>,(33,2,1,1)</v>
      </c>
    </row>
    <row r="154" spans="2:27" x14ac:dyDescent="0.4">
      <c r="B154" s="1">
        <v>14</v>
      </c>
      <c r="C154" s="1">
        <v>34</v>
      </c>
      <c r="D154" s="8">
        <v>2</v>
      </c>
      <c r="E154" s="1">
        <v>1</v>
      </c>
      <c r="F154" s="1">
        <v>1</v>
      </c>
      <c r="AA154" t="str">
        <f t="shared" si="9"/>
        <v>,(34,2,1,1)</v>
      </c>
    </row>
    <row r="155" spans="2:27" x14ac:dyDescent="0.4">
      <c r="B155" s="1">
        <v>15</v>
      </c>
      <c r="C155" s="1">
        <v>35</v>
      </c>
      <c r="D155" s="8">
        <v>2</v>
      </c>
      <c r="E155" s="1">
        <v>1</v>
      </c>
      <c r="F155" s="1">
        <v>1</v>
      </c>
      <c r="AA155" t="str">
        <f t="shared" si="9"/>
        <v>,(35,2,1,1)</v>
      </c>
    </row>
    <row r="156" spans="2:27" x14ac:dyDescent="0.4">
      <c r="B156" s="1">
        <v>16</v>
      </c>
      <c r="C156" s="1">
        <v>36</v>
      </c>
      <c r="D156" s="8">
        <v>2</v>
      </c>
      <c r="E156" s="1">
        <v>1</v>
      </c>
      <c r="F156" s="1">
        <v>1</v>
      </c>
      <c r="AA156" t="str">
        <f t="shared" si="9"/>
        <v>,(36,2,1,1)</v>
      </c>
    </row>
    <row r="157" spans="2:27" x14ac:dyDescent="0.4">
      <c r="B157" s="1">
        <v>17</v>
      </c>
      <c r="C157" s="1">
        <v>37</v>
      </c>
      <c r="D157" s="8">
        <v>2</v>
      </c>
      <c r="E157" s="1">
        <v>1</v>
      </c>
      <c r="F157" s="1">
        <v>1</v>
      </c>
      <c r="AA157" t="str">
        <f t="shared" si="9"/>
        <v>,(37,2,1,1)</v>
      </c>
    </row>
    <row r="158" spans="2:27" x14ac:dyDescent="0.4">
      <c r="B158" s="1">
        <v>18</v>
      </c>
      <c r="C158" s="1">
        <v>38</v>
      </c>
      <c r="D158" s="8">
        <v>2</v>
      </c>
      <c r="E158" s="1">
        <v>1</v>
      </c>
      <c r="F158" s="1">
        <v>1</v>
      </c>
      <c r="AA158" t="str">
        <f t="shared" si="9"/>
        <v>,(38,2,1,1)</v>
      </c>
    </row>
    <row r="159" spans="2:27" x14ac:dyDescent="0.4">
      <c r="B159" s="1">
        <v>19</v>
      </c>
      <c r="C159" s="1">
        <v>39</v>
      </c>
      <c r="D159" s="8">
        <v>2</v>
      </c>
      <c r="E159" s="1">
        <v>1</v>
      </c>
      <c r="F159" s="1">
        <v>1</v>
      </c>
      <c r="AA159" t="str">
        <f t="shared" si="9"/>
        <v>,(39,2,1,1)</v>
      </c>
    </row>
    <row r="160" spans="2:27" x14ac:dyDescent="0.4">
      <c r="B160" s="1">
        <v>20</v>
      </c>
      <c r="C160" s="1">
        <v>40</v>
      </c>
      <c r="D160" s="8">
        <v>2</v>
      </c>
      <c r="E160" s="1">
        <v>1</v>
      </c>
      <c r="F160" s="1">
        <v>1</v>
      </c>
      <c r="AA160" t="str">
        <f t="shared" si="9"/>
        <v>,(40,2,1,1)</v>
      </c>
    </row>
    <row r="161" spans="2:27" x14ac:dyDescent="0.4">
      <c r="B161" s="1">
        <v>21</v>
      </c>
      <c r="C161" s="1">
        <v>41</v>
      </c>
      <c r="D161" s="8">
        <v>2</v>
      </c>
      <c r="E161" s="1">
        <v>1</v>
      </c>
      <c r="F161" s="1">
        <v>1</v>
      </c>
      <c r="AA161" t="str">
        <f t="shared" si="9"/>
        <v>,(41,2,1,1)</v>
      </c>
    </row>
    <row r="162" spans="2:27" x14ac:dyDescent="0.4">
      <c r="AA162" t="s">
        <v>143</v>
      </c>
    </row>
  </sheetData>
  <mergeCells count="6">
    <mergeCell ref="C2:H2"/>
    <mergeCell ref="C111:H111"/>
    <mergeCell ref="C118:F118"/>
    <mergeCell ref="C20:I20"/>
    <mergeCell ref="C9:F9"/>
    <mergeCell ref="C81:G8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A289-CEB6-446D-941B-80E534746D53}">
  <dimension ref="B2:X178"/>
  <sheetViews>
    <sheetView topLeftCell="L1" zoomScale="85" zoomScaleNormal="85" workbookViewId="0">
      <selection activeCell="X1" sqref="X1:X1048576"/>
    </sheetView>
  </sheetViews>
  <sheetFormatPr defaultRowHeight="17.399999999999999" x14ac:dyDescent="0.4"/>
  <cols>
    <col min="1" max="1" width="3.19921875" style="22" customWidth="1"/>
    <col min="2" max="2" width="7" style="34" bestFit="1" customWidth="1"/>
    <col min="3" max="3" width="12.59765625" style="34" bestFit="1" customWidth="1"/>
    <col min="4" max="4" width="75.69921875" style="22" bestFit="1" customWidth="1"/>
    <col min="5" max="5" width="6.8984375" style="22" bestFit="1" customWidth="1"/>
    <col min="6" max="6" width="8.69921875" style="22" bestFit="1" customWidth="1"/>
    <col min="7" max="7" width="6.5" style="22" bestFit="1" customWidth="1"/>
    <col min="8" max="8" width="79.09765625" style="22" bestFit="1" customWidth="1"/>
    <col min="9" max="9" width="16.19921875" style="34" bestFit="1" customWidth="1"/>
    <col min="10" max="10" width="20.59765625" style="34" bestFit="1" customWidth="1"/>
    <col min="11" max="12" width="18.5" style="35" bestFit="1" customWidth="1"/>
    <col min="13" max="23" width="12.5" style="22" hidden="1" customWidth="1"/>
    <col min="24" max="24" width="185.09765625" style="22" bestFit="1" customWidth="1"/>
    <col min="25" max="16384" width="8.796875" style="22"/>
  </cols>
  <sheetData>
    <row r="2" spans="2:24" x14ac:dyDescent="0.4">
      <c r="B2" s="21" t="s">
        <v>135</v>
      </c>
      <c r="C2" s="47" t="s">
        <v>879</v>
      </c>
      <c r="D2" s="47"/>
      <c r="E2" s="47"/>
      <c r="F2" s="47"/>
      <c r="G2" s="47"/>
      <c r="H2" s="47"/>
      <c r="I2" s="47"/>
      <c r="J2" s="47"/>
      <c r="K2" s="47"/>
      <c r="L2" s="47"/>
    </row>
    <row r="3" spans="2:24" x14ac:dyDescent="0.4">
      <c r="B3" s="23" t="s">
        <v>1</v>
      </c>
      <c r="C3" s="23" t="s">
        <v>333</v>
      </c>
      <c r="D3" s="23" t="s">
        <v>335</v>
      </c>
      <c r="E3" s="23" t="s">
        <v>337</v>
      </c>
      <c r="F3" s="23" t="s">
        <v>351</v>
      </c>
      <c r="G3" s="23" t="s">
        <v>244</v>
      </c>
      <c r="H3" s="24" t="s">
        <v>339</v>
      </c>
      <c r="I3" s="23" t="s">
        <v>341</v>
      </c>
      <c r="J3" s="23" t="s">
        <v>345</v>
      </c>
      <c r="K3" s="23" t="s">
        <v>328</v>
      </c>
      <c r="L3" s="23" t="s">
        <v>520</v>
      </c>
      <c r="M3" s="25"/>
      <c r="N3" s="25"/>
      <c r="O3" s="26"/>
      <c r="P3" s="26"/>
      <c r="Q3" s="26"/>
      <c r="R3" s="26"/>
      <c r="S3" s="26"/>
      <c r="T3" s="26"/>
      <c r="U3" s="26"/>
      <c r="V3" s="26"/>
      <c r="W3" s="27"/>
      <c r="X3" s="28" t="str">
        <f>_xlfn.CONCAT("TRUNCATE ",C2,";")</f>
        <v>TRUNCATE tb_item;</v>
      </c>
    </row>
    <row r="4" spans="2:24" x14ac:dyDescent="0.4">
      <c r="B4" s="23" t="s">
        <v>3</v>
      </c>
      <c r="C4" s="23" t="s">
        <v>334</v>
      </c>
      <c r="D4" s="23" t="s">
        <v>336</v>
      </c>
      <c r="E4" s="23" t="s">
        <v>338</v>
      </c>
      <c r="F4" s="23" t="s">
        <v>349</v>
      </c>
      <c r="G4" s="23" t="s">
        <v>52</v>
      </c>
      <c r="H4" s="24" t="s">
        <v>340</v>
      </c>
      <c r="I4" s="23" t="s">
        <v>343</v>
      </c>
      <c r="J4" s="23" t="s">
        <v>347</v>
      </c>
      <c r="K4" s="23" t="s">
        <v>329</v>
      </c>
      <c r="L4" s="23" t="s">
        <v>330</v>
      </c>
      <c r="M4" s="25"/>
      <c r="N4" s="25"/>
      <c r="O4" s="26"/>
      <c r="P4" s="26"/>
      <c r="Q4" s="26"/>
      <c r="R4" s="26"/>
      <c r="S4" s="26"/>
      <c r="T4" s="26"/>
      <c r="U4" s="26"/>
      <c r="V4" s="26"/>
      <c r="W4" s="27"/>
      <c r="X4" s="22" t="str">
        <f>_xlfn.CONCAT("INSERT INTO ",C2, "(", _xlfn.TEXTJOIN(",",TRUE,C3:W3),") VALUES")</f>
        <v>INSERT INTO tb_item(ITEM_SEQ,ITEM_NM,PRICE,UNIT,RMRK,IMG,ITEM_TYPE_CODE,ITEM_DTL_TYPE_CODE,FST_REG_SEQ,LST_UPD_SEQ) VALUES</v>
      </c>
    </row>
    <row r="5" spans="2:24" x14ac:dyDescent="0.4">
      <c r="B5" s="36">
        <v>1</v>
      </c>
      <c r="C5" s="36">
        <v>1</v>
      </c>
      <c r="D5" s="29" t="s">
        <v>379</v>
      </c>
      <c r="E5" s="25">
        <v>2970</v>
      </c>
      <c r="F5" s="37">
        <v>1</v>
      </c>
      <c r="G5" s="25" t="s">
        <v>566</v>
      </c>
      <c r="H5" s="29" t="s">
        <v>427</v>
      </c>
      <c r="I5" s="30" t="s">
        <v>359</v>
      </c>
      <c r="J5" s="30" t="s">
        <v>375</v>
      </c>
      <c r="K5" s="31">
        <v>1</v>
      </c>
      <c r="L5" s="31">
        <v>1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32"/>
      <c r="X5" s="22" t="str">
        <f t="shared" ref="X5:X36" si="0">_xlfn.CONCAT(IF(B5=1,"",","),"(",_xlfn.TEXTJOIN(",",TRUE,C5:W5),")")</f>
        <v>(1,"캘리포니아센트 스필프루프 코로나도",2970,1,"","캘리포니아센트 스필프루프 코로나도.jpg","03","0301",1,1)</v>
      </c>
    </row>
    <row r="6" spans="2:24" x14ac:dyDescent="0.4">
      <c r="B6" s="36">
        <v>2</v>
      </c>
      <c r="C6" s="36">
        <v>2</v>
      </c>
      <c r="D6" s="29" t="s">
        <v>380</v>
      </c>
      <c r="E6" s="25">
        <v>6100</v>
      </c>
      <c r="F6" s="37">
        <v>1</v>
      </c>
      <c r="G6" s="25" t="s">
        <v>566</v>
      </c>
      <c r="H6" s="29" t="s">
        <v>428</v>
      </c>
      <c r="I6" s="30" t="s">
        <v>359</v>
      </c>
      <c r="J6" s="30" t="s">
        <v>375</v>
      </c>
      <c r="K6" s="31">
        <v>1</v>
      </c>
      <c r="L6" s="31">
        <v>1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32"/>
      <c r="X6" s="22" t="str">
        <f t="shared" si="0"/>
        <v>,(2,"젠틀 디퓨저 블랙로즈",6100,1,"","젠틀 디퓨저 블랙로즈.jpg","03","0301",1,1)</v>
      </c>
    </row>
    <row r="7" spans="2:24" x14ac:dyDescent="0.4">
      <c r="B7" s="36">
        <v>3</v>
      </c>
      <c r="C7" s="36">
        <v>3</v>
      </c>
      <c r="D7" s="29" t="s">
        <v>381</v>
      </c>
      <c r="E7" s="25">
        <v>8760</v>
      </c>
      <c r="F7" s="37">
        <v>1</v>
      </c>
      <c r="G7" s="25" t="s">
        <v>566</v>
      </c>
      <c r="H7" s="29" t="s">
        <v>429</v>
      </c>
      <c r="I7" s="30" t="s">
        <v>359</v>
      </c>
      <c r="J7" s="30" t="s">
        <v>375</v>
      </c>
      <c r="K7" s="31">
        <v>1</v>
      </c>
      <c r="L7" s="31">
        <v>1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32"/>
      <c r="X7" s="22" t="str">
        <f t="shared" si="0"/>
        <v>,(3,"에멜시 차량용 방향제 170ml 헤블린 오션",8760,1,"","에멜시 차량용 방향제 170ml 헤블린 오션.jpg","03","0301",1,1)</v>
      </c>
    </row>
    <row r="8" spans="2:24" x14ac:dyDescent="0.4">
      <c r="B8" s="36">
        <v>4</v>
      </c>
      <c r="C8" s="36">
        <v>4</v>
      </c>
      <c r="D8" s="29" t="s">
        <v>382</v>
      </c>
      <c r="E8" s="25">
        <v>8990</v>
      </c>
      <c r="F8" s="37">
        <v>1</v>
      </c>
      <c r="G8" s="25" t="s">
        <v>566</v>
      </c>
      <c r="H8" s="29" t="s">
        <v>430</v>
      </c>
      <c r="I8" s="30" t="s">
        <v>359</v>
      </c>
      <c r="J8" s="30" t="s">
        <v>375</v>
      </c>
      <c r="K8" s="31">
        <v>1</v>
      </c>
      <c r="L8" s="31">
        <v>1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32"/>
      <c r="X8" s="22" t="str">
        <f t="shared" si="0"/>
        <v>,(4,"그라스 디퓨저 105ml 블랙베리&amp;체리",8990,1,"","그라스 디퓨저 105ml 블랙베리&amp;체리.jpg","03","0301",1,1)</v>
      </c>
    </row>
    <row r="9" spans="2:24" x14ac:dyDescent="0.4">
      <c r="B9" s="36">
        <v>5</v>
      </c>
      <c r="C9" s="36">
        <v>5</v>
      </c>
      <c r="D9" s="29" t="s">
        <v>383</v>
      </c>
      <c r="E9" s="25">
        <v>6150</v>
      </c>
      <c r="F9" s="37">
        <v>1</v>
      </c>
      <c r="G9" s="25" t="s">
        <v>566</v>
      </c>
      <c r="H9" s="29" t="s">
        <v>431</v>
      </c>
      <c r="I9" s="30" t="s">
        <v>359</v>
      </c>
      <c r="J9" s="30" t="s">
        <v>376</v>
      </c>
      <c r="K9" s="31">
        <v>1</v>
      </c>
      <c r="L9" s="31">
        <v>1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32"/>
      <c r="X9" s="22" t="str">
        <f t="shared" si="0"/>
        <v>,(5,"다우니 프리미엄 세탁세제 액체형 실내건조",6150,1,"","다우니 프리미엄 세탁세제 액체형 실내건조.jpg","03","0302",1,1)</v>
      </c>
    </row>
    <row r="10" spans="2:24" x14ac:dyDescent="0.4">
      <c r="B10" s="36">
        <v>6</v>
      </c>
      <c r="C10" s="36">
        <v>6</v>
      </c>
      <c r="D10" s="29" t="s">
        <v>384</v>
      </c>
      <c r="E10" s="25">
        <v>25280</v>
      </c>
      <c r="F10" s="37">
        <v>1</v>
      </c>
      <c r="G10" s="25" t="s">
        <v>566</v>
      </c>
      <c r="H10" s="29" t="s">
        <v>432</v>
      </c>
      <c r="I10" s="30" t="s">
        <v>359</v>
      </c>
      <c r="J10" s="30" t="s">
        <v>377</v>
      </c>
      <c r="K10" s="31">
        <v>1</v>
      </c>
      <c r="L10" s="31">
        <v>1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32"/>
      <c r="X10" s="22" t="str">
        <f t="shared" si="0"/>
        <v>,(6,"비트 마사지 건 HMS-12",25280,1,"","비트 마사지 건 HMS-12.jpg","03","0303",1,1)</v>
      </c>
    </row>
    <row r="11" spans="2:24" x14ac:dyDescent="0.4">
      <c r="B11" s="36">
        <v>7</v>
      </c>
      <c r="C11" s="36">
        <v>7</v>
      </c>
      <c r="D11" s="29" t="s">
        <v>385</v>
      </c>
      <c r="E11" s="25">
        <v>13280</v>
      </c>
      <c r="F11" s="37">
        <v>1</v>
      </c>
      <c r="G11" s="25" t="s">
        <v>566</v>
      </c>
      <c r="H11" s="29" t="s">
        <v>433</v>
      </c>
      <c r="I11" s="30" t="s">
        <v>359</v>
      </c>
      <c r="J11" s="30" t="s">
        <v>378</v>
      </c>
      <c r="K11" s="31">
        <v>1</v>
      </c>
      <c r="L11" s="31">
        <v>1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32"/>
      <c r="X11" s="22" t="str">
        <f t="shared" si="0"/>
        <v>,(7,"질레트 프로쉴드 옐로우 면도날 4입",13280,1,"","질레트 프로쉴드 옐로우 면도날 4입.jpg","03","0304",1,1)</v>
      </c>
    </row>
    <row r="12" spans="2:24" x14ac:dyDescent="0.4">
      <c r="B12" s="36">
        <v>8</v>
      </c>
      <c r="C12" s="36">
        <v>8</v>
      </c>
      <c r="D12" s="29" t="s">
        <v>567</v>
      </c>
      <c r="E12" s="25">
        <v>1250</v>
      </c>
      <c r="F12" s="37">
        <v>12</v>
      </c>
      <c r="G12" s="25" t="s">
        <v>566</v>
      </c>
      <c r="H12" s="29" t="s">
        <v>568</v>
      </c>
      <c r="I12" s="30" t="s">
        <v>355</v>
      </c>
      <c r="J12" s="30" t="s">
        <v>361</v>
      </c>
      <c r="K12" s="31">
        <v>1</v>
      </c>
      <c r="L12" s="31">
        <v>1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32"/>
      <c r="X12" s="22" t="str">
        <f t="shared" si="0"/>
        <v>,(8,"프링글스 양파맛",1250,12,"","프링글스 양파맛.jpg","01","0101",1,1)</v>
      </c>
    </row>
    <row r="13" spans="2:24" x14ac:dyDescent="0.4">
      <c r="B13" s="36">
        <v>9</v>
      </c>
      <c r="C13" s="36">
        <v>9</v>
      </c>
      <c r="D13" s="29" t="s">
        <v>386</v>
      </c>
      <c r="E13" s="25">
        <v>1400</v>
      </c>
      <c r="F13" s="37">
        <v>12</v>
      </c>
      <c r="G13" s="25" t="s">
        <v>566</v>
      </c>
      <c r="H13" s="29" t="s">
        <v>434</v>
      </c>
      <c r="I13" s="30" t="s">
        <v>355</v>
      </c>
      <c r="J13" s="30" t="s">
        <v>361</v>
      </c>
      <c r="K13" s="31">
        <v>1</v>
      </c>
      <c r="L13" s="31">
        <v>1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32"/>
      <c r="X13" s="22" t="str">
        <f t="shared" si="0"/>
        <v>,(9,"프링글스 리치치즈갈릭",1400,12,"","프링글스 리치치즈갈릭.jpg","01","0101",1,1)</v>
      </c>
    </row>
    <row r="14" spans="2:24" x14ac:dyDescent="0.4">
      <c r="B14" s="36">
        <v>10</v>
      </c>
      <c r="C14" s="36">
        <v>10</v>
      </c>
      <c r="D14" s="29" t="s">
        <v>387</v>
      </c>
      <c r="E14" s="25">
        <v>1250</v>
      </c>
      <c r="F14" s="37">
        <v>12</v>
      </c>
      <c r="G14" s="25" t="s">
        <v>566</v>
      </c>
      <c r="H14" s="29" t="s">
        <v>435</v>
      </c>
      <c r="I14" s="30" t="s">
        <v>355</v>
      </c>
      <c r="J14" s="30" t="s">
        <v>361</v>
      </c>
      <c r="K14" s="31">
        <v>1</v>
      </c>
      <c r="L14" s="31">
        <v>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32"/>
      <c r="X14" s="22" t="str">
        <f t="shared" si="0"/>
        <v>,(10,"프링글스 버터카라멜",1250,12,"","프링글스 버터카라멜.jpg","01","0101",1,1)</v>
      </c>
    </row>
    <row r="15" spans="2:24" x14ac:dyDescent="0.4">
      <c r="B15" s="36">
        <v>11</v>
      </c>
      <c r="C15" s="36">
        <v>11</v>
      </c>
      <c r="D15" s="29" t="s">
        <v>388</v>
      </c>
      <c r="E15" s="25">
        <v>1250</v>
      </c>
      <c r="F15" s="37">
        <v>12</v>
      </c>
      <c r="G15" s="25" t="s">
        <v>566</v>
      </c>
      <c r="H15" s="29" t="s">
        <v>436</v>
      </c>
      <c r="I15" s="30" t="s">
        <v>355</v>
      </c>
      <c r="J15" s="30" t="s">
        <v>361</v>
      </c>
      <c r="K15" s="31">
        <v>1</v>
      </c>
      <c r="L15" s="31">
        <v>1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32"/>
      <c r="X15" s="22" t="str">
        <f t="shared" si="0"/>
        <v>,(11,"프링글스 핫앤스파이시",1250,12,"","프링글스 핫앤스파이시.jpg","01","0101",1,1)</v>
      </c>
    </row>
    <row r="16" spans="2:24" x14ac:dyDescent="0.4">
      <c r="B16" s="36">
        <v>12</v>
      </c>
      <c r="C16" s="36">
        <v>12</v>
      </c>
      <c r="D16" s="29" t="s">
        <v>389</v>
      </c>
      <c r="E16" s="25">
        <v>450</v>
      </c>
      <c r="F16" s="37">
        <v>15</v>
      </c>
      <c r="G16" s="25" t="s">
        <v>566</v>
      </c>
      <c r="H16" s="29" t="s">
        <v>569</v>
      </c>
      <c r="I16" s="30" t="s">
        <v>355</v>
      </c>
      <c r="J16" s="30" t="s">
        <v>361</v>
      </c>
      <c r="K16" s="31">
        <v>1</v>
      </c>
      <c r="L16" s="31">
        <v>1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32"/>
      <c r="X16" s="22" t="str">
        <f t="shared" si="0"/>
        <v>,(12,"키커바",450,15,"","키커바.jpg","01","0101",1,1)</v>
      </c>
    </row>
    <row r="17" spans="2:24" x14ac:dyDescent="0.4">
      <c r="B17" s="36">
        <v>13</v>
      </c>
      <c r="C17" s="36">
        <v>13</v>
      </c>
      <c r="D17" s="29" t="s">
        <v>390</v>
      </c>
      <c r="E17" s="25">
        <v>7130</v>
      </c>
      <c r="F17" s="37">
        <v>1</v>
      </c>
      <c r="G17" s="25" t="s">
        <v>566</v>
      </c>
      <c r="H17" s="29" t="s">
        <v>437</v>
      </c>
      <c r="I17" s="30" t="s">
        <v>355</v>
      </c>
      <c r="J17" s="30" t="s">
        <v>361</v>
      </c>
      <c r="K17" s="31">
        <v>1</v>
      </c>
      <c r="L17" s="31">
        <v>1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32"/>
      <c r="X17" s="22" t="str">
        <f t="shared" si="0"/>
        <v>,(13,"코주부 CLASSIC 육포 Mild 130g",7130,1,"","코주부 CLASSIC 육포 Mild 130g.jpg","01","0101",1,1)</v>
      </c>
    </row>
    <row r="18" spans="2:24" x14ac:dyDescent="0.4">
      <c r="B18" s="36">
        <v>14</v>
      </c>
      <c r="C18" s="36">
        <v>14</v>
      </c>
      <c r="D18" s="29" t="s">
        <v>391</v>
      </c>
      <c r="E18" s="25">
        <v>6040</v>
      </c>
      <c r="F18" s="37">
        <v>1</v>
      </c>
      <c r="G18" s="25" t="s">
        <v>566</v>
      </c>
      <c r="H18" s="29" t="s">
        <v>438</v>
      </c>
      <c r="I18" s="30" t="s">
        <v>355</v>
      </c>
      <c r="J18" s="30" t="s">
        <v>361</v>
      </c>
      <c r="K18" s="31">
        <v>1</v>
      </c>
      <c r="L18" s="31">
        <v>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32"/>
      <c r="X18" s="22" t="str">
        <f t="shared" si="0"/>
        <v>,(14,"코주부 CLASSIC 육포 HOT &amp; SPICY 130g",6040,1,"","코주부 CLASSIC 육포 HOT &amp; SPICY 130g.jpg","01","0101",1,1)</v>
      </c>
    </row>
    <row r="19" spans="2:24" x14ac:dyDescent="0.4">
      <c r="B19" s="36">
        <v>15</v>
      </c>
      <c r="C19" s="36">
        <v>15</v>
      </c>
      <c r="D19" s="29" t="s">
        <v>392</v>
      </c>
      <c r="E19" s="25">
        <v>720</v>
      </c>
      <c r="F19" s="37">
        <v>20</v>
      </c>
      <c r="G19" s="25" t="s">
        <v>566</v>
      </c>
      <c r="H19" s="29" t="s">
        <v>439</v>
      </c>
      <c r="I19" s="30" t="s">
        <v>355</v>
      </c>
      <c r="J19" s="30" t="s">
        <v>362</v>
      </c>
      <c r="K19" s="31">
        <v>1</v>
      </c>
      <c r="L19" s="31">
        <v>1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32"/>
      <c r="X19" s="22" t="str">
        <f t="shared" si="0"/>
        <v>,(15,"펩시제로슈거라임 500ml",720,20,"","펩시제로슈거라임 500ml.jpg","01","0102",1,1)</v>
      </c>
    </row>
    <row r="20" spans="2:24" x14ac:dyDescent="0.4">
      <c r="B20" s="36">
        <v>16</v>
      </c>
      <c r="C20" s="36">
        <v>16</v>
      </c>
      <c r="D20" s="29" t="s">
        <v>394</v>
      </c>
      <c r="E20" s="25">
        <v>740</v>
      </c>
      <c r="F20" s="37">
        <v>24</v>
      </c>
      <c r="G20" s="25" t="s">
        <v>566</v>
      </c>
      <c r="H20" s="29" t="s">
        <v>441</v>
      </c>
      <c r="I20" s="30" t="s">
        <v>355</v>
      </c>
      <c r="J20" s="30" t="s">
        <v>362</v>
      </c>
      <c r="K20" s="31">
        <v>1</v>
      </c>
      <c r="L20" s="31">
        <v>1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32"/>
      <c r="X20" s="22" t="str">
        <f t="shared" si="0"/>
        <v>,(16,"핫식스더킹파워 355ml",740,24,"","핫식스더킹파워 355ml.jpg","01","0102",1,1)</v>
      </c>
    </row>
    <row r="21" spans="2:24" x14ac:dyDescent="0.4">
      <c r="B21" s="36">
        <v>17</v>
      </c>
      <c r="C21" s="36">
        <v>17</v>
      </c>
      <c r="D21" s="29" t="s">
        <v>395</v>
      </c>
      <c r="E21" s="25">
        <v>1420</v>
      </c>
      <c r="F21" s="37">
        <v>24</v>
      </c>
      <c r="G21" s="25" t="s">
        <v>566</v>
      </c>
      <c r="H21" s="29" t="s">
        <v>442</v>
      </c>
      <c r="I21" s="30" t="s">
        <v>355</v>
      </c>
      <c r="J21" s="30" t="s">
        <v>362</v>
      </c>
      <c r="K21" s="31">
        <v>1</v>
      </c>
      <c r="L21" s="31">
        <v>1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32"/>
      <c r="X21" s="22" t="str">
        <f t="shared" si="0"/>
        <v>,(17,"몬스터에너지 울트라 355ml",1420,24,"","몬스터에너지 울트라 355ml.jpg","01","0102",1,1)</v>
      </c>
    </row>
    <row r="22" spans="2:24" x14ac:dyDescent="0.4">
      <c r="B22" s="36">
        <v>18</v>
      </c>
      <c r="C22" s="36">
        <v>18</v>
      </c>
      <c r="D22" s="29" t="s">
        <v>396</v>
      </c>
      <c r="E22" s="25">
        <v>620</v>
      </c>
      <c r="F22" s="37">
        <v>36</v>
      </c>
      <c r="G22" s="25" t="s">
        <v>566</v>
      </c>
      <c r="H22" s="29" t="s">
        <v>443</v>
      </c>
      <c r="I22" s="30" t="s">
        <v>355</v>
      </c>
      <c r="J22" s="30" t="s">
        <v>363</v>
      </c>
      <c r="K22" s="31">
        <v>1</v>
      </c>
      <c r="L22" s="31">
        <v>1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32"/>
      <c r="X22" s="22" t="str">
        <f t="shared" si="0"/>
        <v>,(18,"햇반 130g",620,36,"","햇반 130g.jpg","01","0103",1,1)</v>
      </c>
    </row>
    <row r="23" spans="2:24" x14ac:dyDescent="0.4">
      <c r="B23" s="36">
        <v>19</v>
      </c>
      <c r="C23" s="36">
        <v>19</v>
      </c>
      <c r="D23" s="29" t="s">
        <v>397</v>
      </c>
      <c r="E23" s="25">
        <v>1100</v>
      </c>
      <c r="F23" s="37">
        <v>24</v>
      </c>
      <c r="G23" s="25" t="s">
        <v>566</v>
      </c>
      <c r="H23" s="29" t="s">
        <v>444</v>
      </c>
      <c r="I23" s="30" t="s">
        <v>355</v>
      </c>
      <c r="J23" s="30" t="s">
        <v>363</v>
      </c>
      <c r="K23" s="31">
        <v>1</v>
      </c>
      <c r="L23" s="31">
        <v>1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32"/>
      <c r="X23" s="22" t="str">
        <f t="shared" si="0"/>
        <v>,(19,"햇반 210g",1100,24,"","햇반 210g.jpg","01","0103",1,1)</v>
      </c>
    </row>
    <row r="24" spans="2:24" x14ac:dyDescent="0.4">
      <c r="B24" s="36">
        <v>20</v>
      </c>
      <c r="C24" s="36">
        <v>20</v>
      </c>
      <c r="D24" s="29" t="s">
        <v>398</v>
      </c>
      <c r="E24" s="25">
        <v>850</v>
      </c>
      <c r="F24" s="37">
        <v>24</v>
      </c>
      <c r="G24" s="25" t="s">
        <v>566</v>
      </c>
      <c r="H24" s="29" t="s">
        <v>570</v>
      </c>
      <c r="I24" s="30" t="s">
        <v>355</v>
      </c>
      <c r="J24" s="30" t="s">
        <v>363</v>
      </c>
      <c r="K24" s="31">
        <v>1</v>
      </c>
      <c r="L24" s="31">
        <v>1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32"/>
      <c r="X24" s="22" t="str">
        <f t="shared" si="0"/>
        <v>,(20,"맛있는 오뚜기밥 210g",850,24,"","맛있는 오뚜기밥 210g.jpg","01","0103",1,1)</v>
      </c>
    </row>
    <row r="25" spans="2:24" x14ac:dyDescent="0.4">
      <c r="B25" s="36">
        <v>21</v>
      </c>
      <c r="C25" s="36">
        <v>21</v>
      </c>
      <c r="D25" s="29" t="s">
        <v>399</v>
      </c>
      <c r="E25" s="25">
        <v>800</v>
      </c>
      <c r="F25" s="37">
        <v>24</v>
      </c>
      <c r="G25" s="25" t="s">
        <v>566</v>
      </c>
      <c r="H25" s="29" t="s">
        <v>445</v>
      </c>
      <c r="I25" s="30" t="s">
        <v>355</v>
      </c>
      <c r="J25" s="30" t="s">
        <v>363</v>
      </c>
      <c r="K25" s="31">
        <v>1</v>
      </c>
      <c r="L25" s="31">
        <v>1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32"/>
      <c r="X25" s="22" t="str">
        <f t="shared" si="0"/>
        <v>,(21,"햇반흑미밥 130g",800,24,"","햇반흑미밥 130g.jpg","01","0103",1,1)</v>
      </c>
    </row>
    <row r="26" spans="2:24" x14ac:dyDescent="0.4">
      <c r="B26" s="36">
        <v>22</v>
      </c>
      <c r="C26" s="36">
        <v>22</v>
      </c>
      <c r="D26" s="29" t="s">
        <v>400</v>
      </c>
      <c r="E26" s="25">
        <v>1010</v>
      </c>
      <c r="F26" s="37">
        <v>24</v>
      </c>
      <c r="G26" s="25" t="s">
        <v>566</v>
      </c>
      <c r="H26" s="29" t="s">
        <v>446</v>
      </c>
      <c r="I26" s="30" t="s">
        <v>355</v>
      </c>
      <c r="J26" s="30" t="s">
        <v>363</v>
      </c>
      <c r="K26" s="31">
        <v>1</v>
      </c>
      <c r="L26" s="31">
        <v>1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32"/>
      <c r="X26" s="22" t="str">
        <f t="shared" si="0"/>
        <v>,(22,"햇반 매일잡곡밥 210g",1010,24,"","햇반 매일잡곡밥 210g.jpg","01","0103",1,1)</v>
      </c>
    </row>
    <row r="27" spans="2:24" x14ac:dyDescent="0.4">
      <c r="B27" s="36">
        <v>23</v>
      </c>
      <c r="C27" s="36">
        <v>23</v>
      </c>
      <c r="D27" s="29" t="s">
        <v>401</v>
      </c>
      <c r="E27" s="25">
        <v>530</v>
      </c>
      <c r="F27" s="37">
        <v>15</v>
      </c>
      <c r="G27" s="25" t="s">
        <v>566</v>
      </c>
      <c r="H27" s="29" t="s">
        <v>447</v>
      </c>
      <c r="I27" s="30" t="s">
        <v>355</v>
      </c>
      <c r="J27" s="30" t="s">
        <v>364</v>
      </c>
      <c r="K27" s="31">
        <v>1</v>
      </c>
      <c r="L27" s="31">
        <v>1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32"/>
      <c r="X27" s="22" t="str">
        <f t="shared" si="0"/>
        <v>,(23,"오뚜기 컵누들 매콤한 맛",530,15,"","오뚜기 컵누들 매콤한 맛.jpg","01","0104",1,1)</v>
      </c>
    </row>
    <row r="28" spans="2:24" x14ac:dyDescent="0.4">
      <c r="B28" s="36">
        <v>24</v>
      </c>
      <c r="C28" s="36">
        <v>24</v>
      </c>
      <c r="D28" s="29" t="s">
        <v>402</v>
      </c>
      <c r="E28" s="25">
        <v>2550</v>
      </c>
      <c r="F28" s="37">
        <v>1</v>
      </c>
      <c r="G28" s="25" t="s">
        <v>566</v>
      </c>
      <c r="H28" s="29" t="s">
        <v>448</v>
      </c>
      <c r="I28" s="30" t="s">
        <v>355</v>
      </c>
      <c r="J28" s="30" t="s">
        <v>365</v>
      </c>
      <c r="K28" s="31">
        <v>1</v>
      </c>
      <c r="L28" s="31">
        <v>1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32"/>
      <c r="X28" s="22" t="str">
        <f t="shared" si="0"/>
        <v>,(24,"쟈뎅 아워티 콤푸차 레몬 10p",2550,1,"","쟈뎅 아워티 콤푸차 레몬 10p.jpg","01","0105",1,1)</v>
      </c>
    </row>
    <row r="29" spans="2:24" x14ac:dyDescent="0.4">
      <c r="B29" s="36">
        <v>25</v>
      </c>
      <c r="C29" s="36">
        <v>25</v>
      </c>
      <c r="D29" s="29" t="s">
        <v>403</v>
      </c>
      <c r="E29" s="25">
        <v>2550</v>
      </c>
      <c r="F29" s="37">
        <v>1</v>
      </c>
      <c r="G29" s="25" t="s">
        <v>566</v>
      </c>
      <c r="H29" s="29" t="s">
        <v>449</v>
      </c>
      <c r="I29" s="30" t="s">
        <v>355</v>
      </c>
      <c r="J29" s="30" t="s">
        <v>365</v>
      </c>
      <c r="K29" s="31">
        <v>1</v>
      </c>
      <c r="L29" s="31">
        <v>1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32"/>
      <c r="X29" s="22" t="str">
        <f t="shared" si="0"/>
        <v>,(25,"쟈뎅 아워티 콤푸차 베리 10p",2550,1,"","쟈뎅 아워티 콤푸차 베리 10p.jpg","01","0105",1,1)</v>
      </c>
    </row>
    <row r="30" spans="2:24" x14ac:dyDescent="0.4">
      <c r="B30" s="36">
        <v>26</v>
      </c>
      <c r="C30" s="36">
        <v>26</v>
      </c>
      <c r="D30" s="29" t="s">
        <v>404</v>
      </c>
      <c r="E30" s="25">
        <v>2550</v>
      </c>
      <c r="F30" s="37">
        <v>1</v>
      </c>
      <c r="G30" s="25" t="s">
        <v>566</v>
      </c>
      <c r="H30" s="29" t="s">
        <v>571</v>
      </c>
      <c r="I30" s="30" t="s">
        <v>355</v>
      </c>
      <c r="J30" s="30" t="s">
        <v>365</v>
      </c>
      <c r="K30" s="31">
        <v>1</v>
      </c>
      <c r="L30" s="31">
        <v>1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32"/>
      <c r="X30" s="22" t="str">
        <f t="shared" si="0"/>
        <v>,(26,"쟈뎅 아워티 콤푸차 자몽 10p",2550,1,"","쟈뎅 아워티 콤푸차 자몽 10p.jpg","01","0105",1,1)</v>
      </c>
    </row>
    <row r="31" spans="2:24" x14ac:dyDescent="0.4">
      <c r="B31" s="36">
        <v>27</v>
      </c>
      <c r="C31" s="36">
        <v>27</v>
      </c>
      <c r="D31" s="29" t="s">
        <v>405</v>
      </c>
      <c r="E31" s="25">
        <v>570</v>
      </c>
      <c r="F31" s="37">
        <v>8</v>
      </c>
      <c r="G31" s="25" t="s">
        <v>566</v>
      </c>
      <c r="H31" s="29" t="s">
        <v>450</v>
      </c>
      <c r="I31" s="30" t="s">
        <v>355</v>
      </c>
      <c r="J31" s="30" t="s">
        <v>366</v>
      </c>
      <c r="K31" s="31">
        <v>1</v>
      </c>
      <c r="L31" s="31">
        <v>1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32"/>
      <c r="X31" s="22" t="str">
        <f t="shared" si="0"/>
        <v>,(27,"박카스맛젤리",570,8,"","박카스맛젤리.jpg","01","0106",1,1)</v>
      </c>
    </row>
    <row r="32" spans="2:24" x14ac:dyDescent="0.4">
      <c r="B32" s="36">
        <v>28</v>
      </c>
      <c r="C32" s="36">
        <v>28</v>
      </c>
      <c r="D32" s="29" t="s">
        <v>406</v>
      </c>
      <c r="E32" s="25">
        <v>960</v>
      </c>
      <c r="F32" s="37">
        <v>8</v>
      </c>
      <c r="G32" s="25" t="s">
        <v>566</v>
      </c>
      <c r="H32" s="29" t="s">
        <v>451</v>
      </c>
      <c r="I32" s="30" t="s">
        <v>355</v>
      </c>
      <c r="J32" s="30" t="s">
        <v>366</v>
      </c>
      <c r="K32" s="31">
        <v>1</v>
      </c>
      <c r="L32" s="31">
        <v>1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32"/>
      <c r="X32" s="22" t="str">
        <f t="shared" si="0"/>
        <v>,(28,"이클립스 페퍼민트향 34g",960,8,"","이클립스 페퍼민트향 34g.jpg","01","0106",1,1)</v>
      </c>
    </row>
    <row r="33" spans="2:24" x14ac:dyDescent="0.4">
      <c r="B33" s="36">
        <v>29</v>
      </c>
      <c r="C33" s="36">
        <v>29</v>
      </c>
      <c r="D33" s="29" t="s">
        <v>407</v>
      </c>
      <c r="E33" s="25">
        <v>990</v>
      </c>
      <c r="F33" s="37">
        <v>8</v>
      </c>
      <c r="G33" s="25" t="s">
        <v>566</v>
      </c>
      <c r="H33" s="29" t="s">
        <v>452</v>
      </c>
      <c r="I33" s="30" t="s">
        <v>355</v>
      </c>
      <c r="J33" s="30" t="s">
        <v>366</v>
      </c>
      <c r="K33" s="31">
        <v>1</v>
      </c>
      <c r="L33" s="31">
        <v>1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2"/>
      <c r="X33" s="22" t="str">
        <f t="shared" si="0"/>
        <v>,(29,"이클립스 피치향 34g",990,8,"","이클립스 피치향 34g.jpg","01","0106",1,1)</v>
      </c>
    </row>
    <row r="34" spans="2:24" x14ac:dyDescent="0.4">
      <c r="B34" s="36">
        <v>30</v>
      </c>
      <c r="C34" s="36">
        <v>30</v>
      </c>
      <c r="D34" s="29" t="s">
        <v>408</v>
      </c>
      <c r="E34" s="25">
        <v>36960</v>
      </c>
      <c r="F34" s="37">
        <v>1</v>
      </c>
      <c r="G34" s="25" t="s">
        <v>566</v>
      </c>
      <c r="H34" s="29" t="s">
        <v>453</v>
      </c>
      <c r="I34" s="30" t="s">
        <v>355</v>
      </c>
      <c r="J34" s="30" t="s">
        <v>538</v>
      </c>
      <c r="K34" s="31">
        <v>1</v>
      </c>
      <c r="L34" s="31">
        <v>1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32"/>
      <c r="X34" s="22" t="str">
        <f t="shared" si="0"/>
        <v>,(30,"맥스빌더",36960,1,"","맥스빌더.jpg","01","0111",1,1)</v>
      </c>
    </row>
    <row r="35" spans="2:24" x14ac:dyDescent="0.4">
      <c r="B35" s="36">
        <v>31</v>
      </c>
      <c r="C35" s="36">
        <v>31</v>
      </c>
      <c r="D35" s="29" t="s">
        <v>409</v>
      </c>
      <c r="E35" s="25">
        <v>440</v>
      </c>
      <c r="F35" s="37">
        <v>12</v>
      </c>
      <c r="G35" s="25" t="s">
        <v>566</v>
      </c>
      <c r="H35" s="29" t="s">
        <v>454</v>
      </c>
      <c r="I35" s="30" t="s">
        <v>355</v>
      </c>
      <c r="J35" s="30" t="s">
        <v>368</v>
      </c>
      <c r="K35" s="31">
        <v>1</v>
      </c>
      <c r="L35" s="31">
        <v>1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32"/>
      <c r="X35" s="22" t="str">
        <f t="shared" si="0"/>
        <v>,(31,"롯데햄 키스틱 더블치즈 소시지",440,12,"","롯데햄 키스틱 더블치즈 소시지.jpg","01","0108",1,1)</v>
      </c>
    </row>
    <row r="36" spans="2:24" x14ac:dyDescent="0.4">
      <c r="B36" s="36">
        <v>32</v>
      </c>
      <c r="C36" s="36">
        <v>32</v>
      </c>
      <c r="D36" s="29" t="s">
        <v>410</v>
      </c>
      <c r="E36" s="25">
        <v>660</v>
      </c>
      <c r="F36" s="37">
        <v>12</v>
      </c>
      <c r="G36" s="25" t="s">
        <v>566</v>
      </c>
      <c r="H36" s="29" t="s">
        <v>455</v>
      </c>
      <c r="I36" s="30" t="s">
        <v>355</v>
      </c>
      <c r="J36" s="30" t="s">
        <v>368</v>
      </c>
      <c r="K36" s="31">
        <v>1</v>
      </c>
      <c r="L36" s="31">
        <v>1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32"/>
      <c r="X36" s="22" t="str">
        <f t="shared" si="0"/>
        <v>,(32,"키스틱",660,12,"","키스틱.jpg","01","0108",1,1)</v>
      </c>
    </row>
    <row r="37" spans="2:24" x14ac:dyDescent="0.4">
      <c r="B37" s="36">
        <v>33</v>
      </c>
      <c r="C37" s="36">
        <v>33</v>
      </c>
      <c r="D37" s="29" t="s">
        <v>411</v>
      </c>
      <c r="E37" s="25">
        <v>960</v>
      </c>
      <c r="F37" s="37">
        <v>10</v>
      </c>
      <c r="G37" s="25" t="s">
        <v>566</v>
      </c>
      <c r="H37" s="29" t="s">
        <v>456</v>
      </c>
      <c r="I37" s="30" t="s">
        <v>355</v>
      </c>
      <c r="J37" s="30" t="s">
        <v>369</v>
      </c>
      <c r="K37" s="31">
        <v>1</v>
      </c>
      <c r="L37" s="31">
        <v>1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32"/>
      <c r="X37" s="22" t="str">
        <f t="shared" ref="X37:X54" si="1">_xlfn.CONCAT(IF(B37=1,"",","),"(",_xlfn.TEXTJOIN(",",TRUE,C37:W37),")")</f>
        <v>,(33,"퀘이커 마시는오트밀 오트&amp;그레인, 50g",960,10,"","퀘이커 마시는오트밀 오트&amp;그레인, 50g.jpg","01","0109",1,1)</v>
      </c>
    </row>
    <row r="38" spans="2:24" x14ac:dyDescent="0.4">
      <c r="B38" s="36">
        <v>34</v>
      </c>
      <c r="C38" s="36">
        <v>34</v>
      </c>
      <c r="D38" s="29" t="s">
        <v>412</v>
      </c>
      <c r="E38" s="25">
        <v>940</v>
      </c>
      <c r="F38" s="37">
        <v>10</v>
      </c>
      <c r="G38" s="25" t="s">
        <v>566</v>
      </c>
      <c r="H38" s="29" t="s">
        <v>457</v>
      </c>
      <c r="I38" s="30" t="s">
        <v>355</v>
      </c>
      <c r="J38" s="30" t="s">
        <v>369</v>
      </c>
      <c r="K38" s="31">
        <v>1</v>
      </c>
      <c r="L38" s="31">
        <v>1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32"/>
      <c r="X38" s="22" t="str">
        <f t="shared" si="1"/>
        <v>,(34,"퀘이커 마시는 오트밀 오트&amp;우리쌀, 50g",940,10,"","퀘이커 마시는 오트밀 오트&amp;우리쌀, 50g.jpg","01","0109",1,1)</v>
      </c>
    </row>
    <row r="39" spans="2:24" x14ac:dyDescent="0.4">
      <c r="B39" s="36">
        <v>35</v>
      </c>
      <c r="C39" s="36">
        <v>35</v>
      </c>
      <c r="D39" s="29" t="s">
        <v>413</v>
      </c>
      <c r="E39" s="25">
        <v>1390</v>
      </c>
      <c r="F39" s="37">
        <v>10</v>
      </c>
      <c r="G39" s="25" t="s">
        <v>566</v>
      </c>
      <c r="H39" s="29" t="s">
        <v>458</v>
      </c>
      <c r="I39" s="30" t="s">
        <v>355</v>
      </c>
      <c r="J39" s="30" t="s">
        <v>369</v>
      </c>
      <c r="K39" s="31">
        <v>1</v>
      </c>
      <c r="L39" s="31">
        <v>1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32"/>
      <c r="X39" s="22" t="str">
        <f t="shared" si="1"/>
        <v>,(35,"퀘이커 마시는 오트밀 단백질, 80g",1390,10,"","퀘이커 마시는 오트밀 단백질, 80g.jpg","01","0109",1,1)</v>
      </c>
    </row>
    <row r="40" spans="2:24" x14ac:dyDescent="0.4">
      <c r="B40" s="36">
        <v>36</v>
      </c>
      <c r="C40" s="36">
        <v>36</v>
      </c>
      <c r="D40" s="29" t="s">
        <v>414</v>
      </c>
      <c r="E40" s="25">
        <v>1080</v>
      </c>
      <c r="F40" s="37">
        <v>10</v>
      </c>
      <c r="G40" s="25" t="s">
        <v>566</v>
      </c>
      <c r="H40" s="29" t="s">
        <v>459</v>
      </c>
      <c r="I40" s="30" t="s">
        <v>355</v>
      </c>
      <c r="J40" s="30" t="s">
        <v>369</v>
      </c>
      <c r="K40" s="31">
        <v>1</v>
      </c>
      <c r="L40" s="31">
        <v>1</v>
      </c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32"/>
      <c r="X40" s="22" t="str">
        <f t="shared" si="1"/>
        <v>,(36,"퀘이커 마시는 오트밀 찰옥수수, 50g",1080,10,"","퀘이커 마시는 오트밀 찰옥수수, 50g.jpg","01","0109",1,1)</v>
      </c>
    </row>
    <row r="41" spans="2:24" x14ac:dyDescent="0.4">
      <c r="B41" s="36">
        <v>37</v>
      </c>
      <c r="C41" s="36">
        <v>37</v>
      </c>
      <c r="D41" s="29" t="s">
        <v>415</v>
      </c>
      <c r="E41" s="25">
        <v>480</v>
      </c>
      <c r="F41" s="37">
        <v>10</v>
      </c>
      <c r="G41" s="25" t="s">
        <v>566</v>
      </c>
      <c r="H41" s="29" t="s">
        <v>460</v>
      </c>
      <c r="I41" s="30" t="s">
        <v>357</v>
      </c>
      <c r="J41" s="30" t="s">
        <v>370</v>
      </c>
      <c r="K41" s="31">
        <v>1</v>
      </c>
      <c r="L41" s="31">
        <v>1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32"/>
      <c r="X41" s="22" t="str">
        <f t="shared" si="1"/>
        <v>,(37,"SNP 골드 콜라겐 앰플 마스크",480,10,"","SNP 골드 콜라겐 앰플 마스크.jpg","02","0201",1,1)</v>
      </c>
    </row>
    <row r="42" spans="2:24" x14ac:dyDescent="0.4">
      <c r="B42" s="36">
        <v>38</v>
      </c>
      <c r="C42" s="36">
        <v>38</v>
      </c>
      <c r="D42" s="29" t="s">
        <v>416</v>
      </c>
      <c r="E42" s="25">
        <v>700</v>
      </c>
      <c r="F42" s="37">
        <v>10</v>
      </c>
      <c r="G42" s="25" t="s">
        <v>566</v>
      </c>
      <c r="H42" s="29" t="s">
        <v>461</v>
      </c>
      <c r="I42" s="30" t="s">
        <v>357</v>
      </c>
      <c r="J42" s="30" t="s">
        <v>370</v>
      </c>
      <c r="K42" s="31">
        <v>1</v>
      </c>
      <c r="L42" s="31">
        <v>1</v>
      </c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32"/>
      <c r="X42" s="22" t="str">
        <f t="shared" si="1"/>
        <v>,(38,"메디힐 디엔에이 프로아틴 마스크",700,10,"","메디힐 디엔에이 프로아틴 마스크.jpg","02","0201",1,1)</v>
      </c>
    </row>
    <row r="43" spans="2:24" x14ac:dyDescent="0.4">
      <c r="B43" s="36">
        <v>39</v>
      </c>
      <c r="C43" s="36">
        <v>39</v>
      </c>
      <c r="D43" s="29" t="s">
        <v>417</v>
      </c>
      <c r="E43" s="25">
        <v>4750</v>
      </c>
      <c r="F43" s="37">
        <v>1</v>
      </c>
      <c r="G43" s="25" t="s">
        <v>566</v>
      </c>
      <c r="H43" s="29" t="s">
        <v>462</v>
      </c>
      <c r="I43" s="30" t="s">
        <v>357</v>
      </c>
      <c r="J43" s="30" t="s">
        <v>371</v>
      </c>
      <c r="K43" s="31">
        <v>1</v>
      </c>
      <c r="L43" s="31">
        <v>1</v>
      </c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32"/>
      <c r="X43" s="22" t="str">
        <f t="shared" si="1"/>
        <v>,(39,"닥터지 메디유브이 울트라 선 50ml",4750,1,"","닥터지 메디유브이 울트라 선 50ml.jpg","02","0202",1,1)</v>
      </c>
    </row>
    <row r="44" spans="2:24" x14ac:dyDescent="0.4">
      <c r="B44" s="36">
        <v>40</v>
      </c>
      <c r="C44" s="36">
        <v>40</v>
      </c>
      <c r="D44" s="29" t="s">
        <v>418</v>
      </c>
      <c r="E44" s="25">
        <v>8800</v>
      </c>
      <c r="F44" s="37">
        <v>1</v>
      </c>
      <c r="G44" s="25" t="s">
        <v>566</v>
      </c>
      <c r="H44" s="29" t="s">
        <v>463</v>
      </c>
      <c r="I44" s="30" t="s">
        <v>357</v>
      </c>
      <c r="J44" s="30" t="s">
        <v>371</v>
      </c>
      <c r="K44" s="31">
        <v>1</v>
      </c>
      <c r="L44" s="31">
        <v>1</v>
      </c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32"/>
      <c r="X44" s="22" t="str">
        <f t="shared" si="1"/>
        <v>,(40,"AHC 내추럴 퍼펙션 프레쉬선스틱",8800,1,"","AHC 내추럴 퍼펙션 프레쉬선스틱.jpg","02","0202",1,1)</v>
      </c>
    </row>
    <row r="45" spans="2:24" x14ac:dyDescent="0.4">
      <c r="B45" s="36">
        <v>41</v>
      </c>
      <c r="C45" s="36">
        <v>41</v>
      </c>
      <c r="D45" s="29" t="s">
        <v>419</v>
      </c>
      <c r="E45" s="25">
        <v>5560</v>
      </c>
      <c r="F45" s="37">
        <v>1</v>
      </c>
      <c r="G45" s="25" t="s">
        <v>566</v>
      </c>
      <c r="H45" s="29" t="s">
        <v>464</v>
      </c>
      <c r="I45" s="30" t="s">
        <v>357</v>
      </c>
      <c r="J45" s="30" t="s">
        <v>372</v>
      </c>
      <c r="K45" s="31">
        <v>1</v>
      </c>
      <c r="L45" s="31">
        <v>1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32"/>
      <c r="X45" s="22" t="str">
        <f t="shared" si="1"/>
        <v>,(41,"AHC프라이빗 리얼아이크림기프트세트",5560,1,"","AHC프라이빗 리얼아이크림기프트세트.jpg","02","0203",1,1)</v>
      </c>
    </row>
    <row r="46" spans="2:24" x14ac:dyDescent="0.4">
      <c r="B46" s="36">
        <v>42</v>
      </c>
      <c r="C46" s="36">
        <v>42</v>
      </c>
      <c r="D46" s="29" t="s">
        <v>420</v>
      </c>
      <c r="E46" s="25">
        <v>4710</v>
      </c>
      <c r="F46" s="37">
        <v>1</v>
      </c>
      <c r="G46" s="25" t="s">
        <v>566</v>
      </c>
      <c r="H46" s="29" t="s">
        <v>465</v>
      </c>
      <c r="I46" s="30" t="s">
        <v>357</v>
      </c>
      <c r="J46" s="30" t="s">
        <v>373</v>
      </c>
      <c r="K46" s="31">
        <v>1</v>
      </c>
      <c r="L46" s="31">
        <v>1</v>
      </c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32"/>
      <c r="X46" s="22" t="str">
        <f t="shared" si="1"/>
        <v>,(42,"마녀공장 비피다 바이옴 수분 장벽 강화 크림 기획세트",4710,1,"","마녀공장 비피다 바이옴 수분 장벽 강화 크림 기획세트.jpg","02","0204",1,1)</v>
      </c>
    </row>
    <row r="47" spans="2:24" x14ac:dyDescent="0.4">
      <c r="B47" s="36">
        <v>43</v>
      </c>
      <c r="C47" s="36">
        <v>43</v>
      </c>
      <c r="D47" s="29" t="s">
        <v>421</v>
      </c>
      <c r="E47" s="25">
        <v>7900</v>
      </c>
      <c r="F47" s="37">
        <v>1</v>
      </c>
      <c r="G47" s="25" t="s">
        <v>566</v>
      </c>
      <c r="H47" s="29" t="s">
        <v>466</v>
      </c>
      <c r="I47" s="30" t="s">
        <v>357</v>
      </c>
      <c r="J47" s="30" t="s">
        <v>373</v>
      </c>
      <c r="K47" s="31">
        <v>1</v>
      </c>
      <c r="L47" s="31">
        <v>1</v>
      </c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32"/>
      <c r="X47" s="22" t="str">
        <f t="shared" si="1"/>
        <v>,(43,"이니스프리 퍼펙트9인텐시브 크림",7900,1,"","이니스프리 퍼펙트9인텐시브 크림.jpg","02","0204",1,1)</v>
      </c>
    </row>
    <row r="48" spans="2:24" x14ac:dyDescent="0.4">
      <c r="B48" s="36">
        <v>44</v>
      </c>
      <c r="C48" s="36">
        <v>44</v>
      </c>
      <c r="D48" s="29" t="s">
        <v>422</v>
      </c>
      <c r="E48" s="25">
        <v>10080</v>
      </c>
      <c r="F48" s="37">
        <v>1</v>
      </c>
      <c r="G48" s="25" t="s">
        <v>566</v>
      </c>
      <c r="H48" s="29" t="s">
        <v>467</v>
      </c>
      <c r="I48" s="30" t="s">
        <v>357</v>
      </c>
      <c r="J48" s="30" t="s">
        <v>373</v>
      </c>
      <c r="K48" s="31">
        <v>1</v>
      </c>
      <c r="L48" s="31">
        <v>1</v>
      </c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32"/>
      <c r="X48" s="22" t="str">
        <f t="shared" si="1"/>
        <v>,(44,"닥터지 로얄 블랙스네일 크림",10080,1,"","닥터지 로얄 블랙스네일 크림.jpg","02","0204",1,1)</v>
      </c>
    </row>
    <row r="49" spans="2:24" x14ac:dyDescent="0.4">
      <c r="B49" s="36">
        <v>45</v>
      </c>
      <c r="C49" s="36">
        <v>45</v>
      </c>
      <c r="D49" s="29" t="s">
        <v>423</v>
      </c>
      <c r="E49" s="25">
        <v>14090</v>
      </c>
      <c r="F49" s="37">
        <v>1</v>
      </c>
      <c r="G49" s="25" t="s">
        <v>566</v>
      </c>
      <c r="H49" s="29" t="s">
        <v>468</v>
      </c>
      <c r="I49" s="30" t="s">
        <v>357</v>
      </c>
      <c r="J49" s="30" t="s">
        <v>373</v>
      </c>
      <c r="K49" s="31">
        <v>1</v>
      </c>
      <c r="L49" s="31">
        <v>1</v>
      </c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32"/>
      <c r="X49" s="22" t="str">
        <f t="shared" si="1"/>
        <v>,(45,"아이소이 탄력크림EX",14090,1,"","아이소이 탄력크림EX.jpg","02","0204",1,1)</v>
      </c>
    </row>
    <row r="50" spans="2:24" x14ac:dyDescent="0.4">
      <c r="B50" s="36">
        <v>46</v>
      </c>
      <c r="C50" s="36">
        <v>46</v>
      </c>
      <c r="D50" s="29" t="s">
        <v>424</v>
      </c>
      <c r="E50" s="25">
        <v>38930</v>
      </c>
      <c r="F50" s="37">
        <v>1</v>
      </c>
      <c r="G50" s="25" t="s">
        <v>566</v>
      </c>
      <c r="H50" s="29" t="s">
        <v>469</v>
      </c>
      <c r="I50" s="30" t="s">
        <v>357</v>
      </c>
      <c r="J50" s="30" t="s">
        <v>373</v>
      </c>
      <c r="K50" s="31">
        <v>1</v>
      </c>
      <c r="L50" s="31">
        <v>1</v>
      </c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32"/>
      <c r="X50" s="22" t="str">
        <f t="shared" si="1"/>
        <v>,(46,"다이아몬드 리페어 퍼펙트 세트",38930,1,"","다이아몬드 리페어 퍼펙트 세트.jpg","02","0204",1,1)</v>
      </c>
    </row>
    <row r="51" spans="2:24" x14ac:dyDescent="0.4">
      <c r="B51" s="36">
        <v>47</v>
      </c>
      <c r="C51" s="36">
        <v>47</v>
      </c>
      <c r="D51" s="29" t="s">
        <v>425</v>
      </c>
      <c r="E51" s="25">
        <v>4320</v>
      </c>
      <c r="F51" s="37">
        <v>1</v>
      </c>
      <c r="G51" s="25" t="s">
        <v>566</v>
      </c>
      <c r="H51" s="29" t="s">
        <v>470</v>
      </c>
      <c r="I51" s="30" t="s">
        <v>357</v>
      </c>
      <c r="J51" s="30" t="s">
        <v>374</v>
      </c>
      <c r="K51" s="31">
        <v>1</v>
      </c>
      <c r="L51" s="31">
        <v>1</v>
      </c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32"/>
      <c r="X51" s="22" t="str">
        <f t="shared" si="1"/>
        <v>,(47,"닥터지 레드 블레미쉬 모이스처 클렌징 폼",4320,1,"","닥터지 레드 블레미쉬 모이스처 클렌징 폼.jpg","02","0205",1,1)</v>
      </c>
    </row>
    <row r="52" spans="2:24" x14ac:dyDescent="0.4">
      <c r="B52" s="36">
        <v>48</v>
      </c>
      <c r="C52" s="36">
        <v>48</v>
      </c>
      <c r="D52" s="29" t="s">
        <v>426</v>
      </c>
      <c r="E52" s="25">
        <v>4390</v>
      </c>
      <c r="F52" s="37">
        <v>1</v>
      </c>
      <c r="G52" s="25" t="s">
        <v>566</v>
      </c>
      <c r="H52" s="29" t="s">
        <v>471</v>
      </c>
      <c r="I52" s="30" t="s">
        <v>357</v>
      </c>
      <c r="J52" s="30" t="s">
        <v>374</v>
      </c>
      <c r="K52" s="31">
        <v>1</v>
      </c>
      <c r="L52" s="31">
        <v>1</v>
      </c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32"/>
      <c r="X52" s="22" t="str">
        <f t="shared" si="1"/>
        <v>,(48,"뉴트로지나 딥클린 아크네 포밍",4390,1,"","뉴트로지나 딥클린 아크네 포밍.jpg","02","0205",1,1)</v>
      </c>
    </row>
    <row r="53" spans="2:24" x14ac:dyDescent="0.4">
      <c r="B53" s="36">
        <v>49</v>
      </c>
      <c r="C53" s="36">
        <v>49</v>
      </c>
      <c r="D53" s="29" t="s">
        <v>572</v>
      </c>
      <c r="E53" s="25">
        <v>10140</v>
      </c>
      <c r="F53" s="37">
        <v>1</v>
      </c>
      <c r="G53" s="25" t="s">
        <v>566</v>
      </c>
      <c r="H53" s="29" t="s">
        <v>573</v>
      </c>
      <c r="I53" s="30" t="s">
        <v>357</v>
      </c>
      <c r="J53" s="30" t="s">
        <v>545</v>
      </c>
      <c r="K53" s="31">
        <v>1</v>
      </c>
      <c r="L53" s="31">
        <v>1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32"/>
      <c r="X53" s="22" t="str">
        <f t="shared" si="1"/>
        <v>,(49,"닥터지 레드 블레미쉬 클리어 수딩 토너, 500ml",10140,1,"","닥터지 레드 블레미쉬 클리어 수딩 토너, 500ml.jpg","02","0206",1,1)</v>
      </c>
    </row>
    <row r="54" spans="2:24" x14ac:dyDescent="0.4">
      <c r="B54" s="33">
        <v>50</v>
      </c>
      <c r="C54" s="33">
        <v>50</v>
      </c>
      <c r="D54" s="25" t="s">
        <v>574</v>
      </c>
      <c r="E54" s="25">
        <v>21840</v>
      </c>
      <c r="F54" s="25">
        <v>1</v>
      </c>
      <c r="G54" s="25" t="s">
        <v>566</v>
      </c>
      <c r="H54" s="25" t="s">
        <v>575</v>
      </c>
      <c r="I54" s="33" t="s">
        <v>355</v>
      </c>
      <c r="J54" s="33" t="s">
        <v>536</v>
      </c>
      <c r="K54" s="31">
        <v>1</v>
      </c>
      <c r="L54" s="31">
        <v>1</v>
      </c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32"/>
      <c r="X54" s="22" t="str">
        <f t="shared" si="1"/>
        <v>,(50,"데체코 올리오 엑스트라 버진 디 올리바, 1L",21840,1,"","데체코 올리오 엑스트라 버진 디 올리바, 1L.jpg","01","0110",1,1)</v>
      </c>
    </row>
    <row r="55" spans="2:24" x14ac:dyDescent="0.4">
      <c r="B55" s="33">
        <v>51</v>
      </c>
      <c r="C55" s="33">
        <v>51</v>
      </c>
      <c r="D55" s="25" t="s">
        <v>576</v>
      </c>
      <c r="E55" s="25">
        <v>5000</v>
      </c>
      <c r="F55" s="25">
        <v>1</v>
      </c>
      <c r="G55" s="25" t="s">
        <v>566</v>
      </c>
      <c r="H55" s="25" t="s">
        <v>577</v>
      </c>
      <c r="I55" s="33" t="s">
        <v>357</v>
      </c>
      <c r="J55" s="33" t="s">
        <v>560</v>
      </c>
      <c r="K55" s="31">
        <v>1</v>
      </c>
      <c r="L55" s="31">
        <v>1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32"/>
      <c r="X55" s="22" t="str">
        <f t="shared" ref="X55:X118" si="2">_xlfn.CONCAT(IF(B55=1,"",","),"(",_xlfn.TEXTJOIN(",",TRUE,C55:W55),")")</f>
        <v>,(51,"바세린 리프팅 리페어 로션 450ml",5000,1,"","바세린 리프팅 리페어 로션 450ml.jpg","02","0207",1,1)</v>
      </c>
    </row>
    <row r="56" spans="2:24" x14ac:dyDescent="0.4">
      <c r="B56" s="33">
        <v>52</v>
      </c>
      <c r="C56" s="33">
        <v>52</v>
      </c>
      <c r="D56" s="25" t="s">
        <v>578</v>
      </c>
      <c r="E56" s="25">
        <v>11800</v>
      </c>
      <c r="F56" s="25">
        <v>1</v>
      </c>
      <c r="G56" s="25" t="s">
        <v>566</v>
      </c>
      <c r="H56" s="25" t="s">
        <v>579</v>
      </c>
      <c r="I56" s="33" t="s">
        <v>357</v>
      </c>
      <c r="J56" s="33" t="s">
        <v>370</v>
      </c>
      <c r="K56" s="31">
        <v>1</v>
      </c>
      <c r="L56" s="31">
        <v>1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32"/>
      <c r="X56" s="22" t="str">
        <f t="shared" si="2"/>
        <v>,(52,"라운드랩 1025 독도 수분 워터겔 마스크 30ml",11800,1,"","라운드랩 1025 독도 수분 워터겔 마스크 30ml.jpg","02","0201",1,1)</v>
      </c>
    </row>
    <row r="57" spans="2:24" x14ac:dyDescent="0.4">
      <c r="B57" s="33">
        <v>53</v>
      </c>
      <c r="C57" s="33">
        <v>53</v>
      </c>
      <c r="D57" s="25" t="s">
        <v>580</v>
      </c>
      <c r="E57" s="25">
        <v>800</v>
      </c>
      <c r="F57" s="25">
        <v>10</v>
      </c>
      <c r="G57" s="25" t="s">
        <v>566</v>
      </c>
      <c r="H57" s="25" t="s">
        <v>581</v>
      </c>
      <c r="I57" s="33" t="s">
        <v>357</v>
      </c>
      <c r="J57" s="33" t="s">
        <v>370</v>
      </c>
      <c r="K57" s="31">
        <v>1</v>
      </c>
      <c r="L57" s="31">
        <v>1</v>
      </c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32"/>
      <c r="X57" s="22" t="str">
        <f t="shared" si="2"/>
        <v>,(53,"메디힐 WHP 미백수분 블랙마스크",800,10,"","메디힐 WHP 미백수분 블랙마스크.jpg","02","0201",1,1)</v>
      </c>
    </row>
    <row r="58" spans="2:24" x14ac:dyDescent="0.4">
      <c r="B58" s="33">
        <v>54</v>
      </c>
      <c r="C58" s="33">
        <v>54</v>
      </c>
      <c r="D58" s="25" t="s">
        <v>582</v>
      </c>
      <c r="E58" s="25">
        <v>3500</v>
      </c>
      <c r="F58" s="25">
        <v>1</v>
      </c>
      <c r="G58" s="25" t="s">
        <v>566</v>
      </c>
      <c r="H58" s="25" t="s">
        <v>583</v>
      </c>
      <c r="I58" s="33" t="s">
        <v>357</v>
      </c>
      <c r="J58" s="33" t="s">
        <v>378</v>
      </c>
      <c r="K58" s="31">
        <v>1</v>
      </c>
      <c r="L58" s="31">
        <v>1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32"/>
      <c r="X58" s="22" t="str">
        <f t="shared" si="2"/>
        <v>,(54,"니베아 맨 센서티브 쉐이빙 폼, 250ml",3500,1,"","니베아 맨 센서티브 쉐이빙 폼, 250ml.jpg","02","0304",1,1)</v>
      </c>
    </row>
    <row r="59" spans="2:24" x14ac:dyDescent="0.4">
      <c r="B59" s="33">
        <v>55</v>
      </c>
      <c r="C59" s="33">
        <v>55</v>
      </c>
      <c r="D59" s="25" t="s">
        <v>584</v>
      </c>
      <c r="E59" s="25">
        <v>4780</v>
      </c>
      <c r="F59" s="25">
        <v>1</v>
      </c>
      <c r="G59" s="25" t="s">
        <v>566</v>
      </c>
      <c r="H59" s="25" t="s">
        <v>585</v>
      </c>
      <c r="I59" s="33" t="s">
        <v>359</v>
      </c>
      <c r="J59" s="33" t="s">
        <v>553</v>
      </c>
      <c r="K59" s="31">
        <v>1</v>
      </c>
      <c r="L59" s="31">
        <v>1</v>
      </c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32"/>
      <c r="X59" s="22" t="str">
        <f t="shared" si="2"/>
        <v>,(55,"부케가르니 나드 샴푸 시그니처 500ml",4780,1,"","부케가르니 나드 샴푸 시그니처 500ml.jpg","03","0306",1,1)</v>
      </c>
    </row>
    <row r="60" spans="2:24" x14ac:dyDescent="0.4">
      <c r="B60" s="33">
        <v>56</v>
      </c>
      <c r="C60" s="33">
        <v>56</v>
      </c>
      <c r="D60" s="25" t="s">
        <v>586</v>
      </c>
      <c r="E60" s="25">
        <v>6910</v>
      </c>
      <c r="F60" s="25">
        <v>1</v>
      </c>
      <c r="G60" s="25" t="s">
        <v>566</v>
      </c>
      <c r="H60" s="25" t="s">
        <v>587</v>
      </c>
      <c r="I60" s="33" t="s">
        <v>357</v>
      </c>
      <c r="J60" s="33" t="s">
        <v>560</v>
      </c>
      <c r="K60" s="31">
        <v>1</v>
      </c>
      <c r="L60" s="31">
        <v>1</v>
      </c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32"/>
      <c r="X60" s="22" t="str">
        <f t="shared" si="2"/>
        <v>,(56,"비알티씨 파워 옴므 올인원 솔루션 기획세트 200ML+50ML",6910,1,"","비알티씨 파워 옴므 올인원 솔루션 기획세트 200ML+50ML.jpg","02","0207",1,1)</v>
      </c>
    </row>
    <row r="61" spans="2:24" x14ac:dyDescent="0.4">
      <c r="B61" s="33">
        <v>57</v>
      </c>
      <c r="C61" s="33">
        <v>57</v>
      </c>
      <c r="D61" s="25" t="s">
        <v>588</v>
      </c>
      <c r="E61" s="25">
        <v>7150</v>
      </c>
      <c r="F61" s="25">
        <v>1</v>
      </c>
      <c r="G61" s="25" t="s">
        <v>566</v>
      </c>
      <c r="H61" s="25" t="s">
        <v>589</v>
      </c>
      <c r="I61" s="33" t="s">
        <v>359</v>
      </c>
      <c r="J61" s="33" t="s">
        <v>555</v>
      </c>
      <c r="K61" s="31">
        <v>1</v>
      </c>
      <c r="L61" s="31">
        <v>1</v>
      </c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32"/>
      <c r="X61" s="22" t="str">
        <f t="shared" si="2"/>
        <v>,(57,"비욘드 바디 디펜스 샤워 450ml",7150,1,"","비욘드 바디 디펜스 샤워 450ml.jpg","03","0307",1,1)</v>
      </c>
    </row>
    <row r="62" spans="2:24" x14ac:dyDescent="0.4">
      <c r="B62" s="33">
        <v>58</v>
      </c>
      <c r="C62" s="33">
        <v>58</v>
      </c>
      <c r="D62" s="25" t="s">
        <v>590</v>
      </c>
      <c r="E62" s="25">
        <v>10890</v>
      </c>
      <c r="F62" s="25">
        <v>1</v>
      </c>
      <c r="G62" s="25" t="s">
        <v>566</v>
      </c>
      <c r="H62" s="25" t="s">
        <v>591</v>
      </c>
      <c r="I62" s="33" t="s">
        <v>359</v>
      </c>
      <c r="J62" s="33" t="s">
        <v>555</v>
      </c>
      <c r="K62" s="31">
        <v>1</v>
      </c>
      <c r="L62" s="31">
        <v>1</v>
      </c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32"/>
      <c r="X62" s="22" t="str">
        <f t="shared" si="2"/>
        <v>,(58,"비욘드 바디 디펜스 에멀전 450ml",10890,1,"","비욘드 바디 디펜스 에멀전 450ml.jpg","03","0307",1,1)</v>
      </c>
    </row>
    <row r="63" spans="2:24" x14ac:dyDescent="0.4">
      <c r="B63" s="33">
        <v>59</v>
      </c>
      <c r="C63" s="33">
        <v>59</v>
      </c>
      <c r="D63" s="25" t="s">
        <v>592</v>
      </c>
      <c r="E63" s="25">
        <v>6460</v>
      </c>
      <c r="F63" s="25">
        <v>1</v>
      </c>
      <c r="G63" s="25" t="s">
        <v>566</v>
      </c>
      <c r="H63" s="25" t="s">
        <v>593</v>
      </c>
      <c r="I63" s="33" t="s">
        <v>357</v>
      </c>
      <c r="J63" s="33" t="s">
        <v>372</v>
      </c>
      <c r="K63" s="31">
        <v>1</v>
      </c>
      <c r="L63" s="31">
        <v>1</v>
      </c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32"/>
      <c r="X63" s="22" t="str">
        <f t="shared" si="2"/>
        <v>,(59,"비원즈 피토 콜라겐 아이세럼스틱 15ml",6460,1,"","비원즈 피토 콜라겐 아이세럼스틱 15ml.jpg","02","0203",1,1)</v>
      </c>
    </row>
    <row r="64" spans="2:24" x14ac:dyDescent="0.4">
      <c r="B64" s="33">
        <v>60</v>
      </c>
      <c r="C64" s="33">
        <v>60</v>
      </c>
      <c r="D64" s="25" t="s">
        <v>594</v>
      </c>
      <c r="E64" s="25">
        <v>4900</v>
      </c>
      <c r="F64" s="25">
        <v>1</v>
      </c>
      <c r="G64" s="25" t="s">
        <v>566</v>
      </c>
      <c r="H64" s="25" t="s">
        <v>595</v>
      </c>
      <c r="I64" s="33" t="s">
        <v>357</v>
      </c>
      <c r="J64" s="33" t="s">
        <v>374</v>
      </c>
      <c r="K64" s="31">
        <v>1</v>
      </c>
      <c r="L64" s="31">
        <v>1</v>
      </c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32"/>
      <c r="X64" s="22" t="str">
        <f t="shared" si="2"/>
        <v>,(60,"센카 퍼팩트 휩 페이셜 워시",4900,1,"","센카 퍼팩트 휩 페이셜 워시.jpg","02","0205",1,1)</v>
      </c>
    </row>
    <row r="65" spans="2:24" x14ac:dyDescent="0.4">
      <c r="B65" s="33">
        <v>61</v>
      </c>
      <c r="C65" s="33">
        <v>61</v>
      </c>
      <c r="D65" s="25" t="s">
        <v>596</v>
      </c>
      <c r="E65" s="25">
        <v>10000</v>
      </c>
      <c r="F65" s="25">
        <v>1</v>
      </c>
      <c r="G65" s="25" t="s">
        <v>566</v>
      </c>
      <c r="H65" s="25" t="s">
        <v>597</v>
      </c>
      <c r="I65" s="33" t="s">
        <v>359</v>
      </c>
      <c r="J65" s="33" t="s">
        <v>555</v>
      </c>
      <c r="K65" s="31">
        <v>1</v>
      </c>
      <c r="L65" s="31">
        <v>1</v>
      </c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32"/>
      <c r="X65" s="22" t="str">
        <f t="shared" si="2"/>
        <v>,(61,"센텔리안 24 마데카 베리어 바디로션 500ml",10000,1,"","센텔리안 24 마데카 베리어 바디로션 500ml.jpg","03","0307",1,1)</v>
      </c>
    </row>
    <row r="66" spans="2:24" x14ac:dyDescent="0.4">
      <c r="B66" s="33">
        <v>62</v>
      </c>
      <c r="C66" s="33">
        <v>62</v>
      </c>
      <c r="D66" s="25" t="s">
        <v>598</v>
      </c>
      <c r="E66" s="25">
        <v>6900</v>
      </c>
      <c r="F66" s="25">
        <v>1</v>
      </c>
      <c r="G66" s="25" t="s">
        <v>566</v>
      </c>
      <c r="H66" s="25" t="s">
        <v>599</v>
      </c>
      <c r="I66" s="33" t="s">
        <v>359</v>
      </c>
      <c r="J66" s="33" t="s">
        <v>555</v>
      </c>
      <c r="K66" s="31">
        <v>1</v>
      </c>
      <c r="L66" s="31">
        <v>1</v>
      </c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32"/>
      <c r="X66" s="22" t="str">
        <f t="shared" si="2"/>
        <v>,(62,"센텔리안 24 마데카 옴프 올인원 125ml",6900,1,"","센텔리안 24 마데카 옴프 올인원 125ml.jpg","03","0307",1,1)</v>
      </c>
    </row>
    <row r="67" spans="2:24" x14ac:dyDescent="0.4">
      <c r="B67" s="33">
        <v>63</v>
      </c>
      <c r="C67" s="33">
        <v>63</v>
      </c>
      <c r="D67" s="25" t="s">
        <v>600</v>
      </c>
      <c r="E67" s="25">
        <v>10900</v>
      </c>
      <c r="F67" s="25">
        <v>1</v>
      </c>
      <c r="G67" s="25" t="s">
        <v>566</v>
      </c>
      <c r="H67" s="25" t="s">
        <v>601</v>
      </c>
      <c r="I67" s="33" t="s">
        <v>357</v>
      </c>
      <c r="J67" s="33" t="s">
        <v>372</v>
      </c>
      <c r="K67" s="31">
        <v>1</v>
      </c>
      <c r="L67" s="31">
        <v>1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32"/>
      <c r="X67" s="22" t="str">
        <f t="shared" si="2"/>
        <v>,(63,"센텔리안24 링클셀 코어 아이크림",10900,1,"","센텔리안24 링클셀 코어 아이크림.jpg","02","0203",1,1)</v>
      </c>
    </row>
    <row r="68" spans="2:24" x14ac:dyDescent="0.4">
      <c r="B68" s="33">
        <v>64</v>
      </c>
      <c r="C68" s="33">
        <v>64</v>
      </c>
      <c r="D68" s="25" t="s">
        <v>602</v>
      </c>
      <c r="E68" s="25">
        <v>8990</v>
      </c>
      <c r="F68" s="25">
        <v>1</v>
      </c>
      <c r="G68" s="25" t="s">
        <v>566</v>
      </c>
      <c r="H68" s="25" t="s">
        <v>603</v>
      </c>
      <c r="I68" s="33" t="s">
        <v>357</v>
      </c>
      <c r="J68" s="33" t="s">
        <v>373</v>
      </c>
      <c r="K68" s="31">
        <v>1</v>
      </c>
      <c r="L68" s="31">
        <v>1</v>
      </c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32"/>
      <c r="X68" s="22" t="str">
        <f t="shared" si="2"/>
        <v>,(64,"셀퓨전씨 데일리 리페어 레이저크림 50ml",8990,1,"","셀퓨전씨 데일리 리페어 레이저크림 50ml.jpg","02","0204",1,1)</v>
      </c>
    </row>
    <row r="69" spans="2:24" x14ac:dyDescent="0.4">
      <c r="B69" s="33">
        <v>65</v>
      </c>
      <c r="C69" s="33">
        <v>65</v>
      </c>
      <c r="D69" s="25" t="s">
        <v>604</v>
      </c>
      <c r="E69" s="25">
        <v>4480</v>
      </c>
      <c r="F69" s="25">
        <v>1</v>
      </c>
      <c r="G69" s="25" t="s">
        <v>566</v>
      </c>
      <c r="H69" s="25" t="s">
        <v>605</v>
      </c>
      <c r="I69" s="33" t="s">
        <v>357</v>
      </c>
      <c r="J69" s="33" t="s">
        <v>373</v>
      </c>
      <c r="K69" s="31">
        <v>1</v>
      </c>
      <c r="L69" s="31">
        <v>1</v>
      </c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32"/>
      <c r="X69" s="22" t="str">
        <f t="shared" si="2"/>
        <v>,(65,"셀퓨젼시 카밍다운크림 35ml",4480,1,"","셀퓨젼시 카밍다운크림 35ml.jpg","02","0204",1,1)</v>
      </c>
    </row>
    <row r="70" spans="2:24" x14ac:dyDescent="0.4">
      <c r="B70" s="33">
        <v>66</v>
      </c>
      <c r="C70" s="33">
        <v>66</v>
      </c>
      <c r="D70" s="25" t="s">
        <v>606</v>
      </c>
      <c r="E70" s="25">
        <v>7100</v>
      </c>
      <c r="F70" s="25">
        <v>1</v>
      </c>
      <c r="G70" s="25" t="s">
        <v>566</v>
      </c>
      <c r="H70" s="25" t="s">
        <v>607</v>
      </c>
      <c r="I70" s="33" t="s">
        <v>357</v>
      </c>
      <c r="J70" s="33" t="s">
        <v>563</v>
      </c>
      <c r="K70" s="31">
        <v>1</v>
      </c>
      <c r="L70" s="31">
        <v>1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32"/>
      <c r="X70" s="22" t="str">
        <f t="shared" si="2"/>
        <v>,(66,"아누아 어성초 80 수분 진정 앰플",7100,1,"","아누아 어성초 80 수분 진정 앰플.jpg","02","0208",1,1)</v>
      </c>
    </row>
    <row r="71" spans="2:24" x14ac:dyDescent="0.4">
      <c r="B71" s="33">
        <v>67</v>
      </c>
      <c r="C71" s="33">
        <v>67</v>
      </c>
      <c r="D71" s="25" t="s">
        <v>608</v>
      </c>
      <c r="E71" s="25">
        <v>10360</v>
      </c>
      <c r="F71" s="25">
        <v>1</v>
      </c>
      <c r="G71" s="25" t="s">
        <v>566</v>
      </c>
      <c r="H71" s="25" t="s">
        <v>609</v>
      </c>
      <c r="I71" s="33" t="s">
        <v>357</v>
      </c>
      <c r="J71" s="33" t="s">
        <v>560</v>
      </c>
      <c r="K71" s="31">
        <v>1</v>
      </c>
      <c r="L71" s="31">
        <v>1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32"/>
      <c r="X71" s="22" t="str">
        <f t="shared" si="2"/>
        <v>,(67,"아누아 어성초70 데일리 로션 200ml",10360,1,"","아누아 어성초70 데일리 로션 200ml.jpg","02","0207",1,1)</v>
      </c>
    </row>
    <row r="72" spans="2:24" x14ac:dyDescent="0.4">
      <c r="B72" s="33">
        <v>68</v>
      </c>
      <c r="C72" s="33">
        <v>68</v>
      </c>
      <c r="D72" s="25" t="s">
        <v>610</v>
      </c>
      <c r="E72" s="25">
        <v>9800</v>
      </c>
      <c r="F72" s="25">
        <v>1</v>
      </c>
      <c r="G72" s="25" t="s">
        <v>566</v>
      </c>
      <c r="H72" s="25" t="s">
        <v>611</v>
      </c>
      <c r="I72" s="33" t="s">
        <v>357</v>
      </c>
      <c r="J72" s="33" t="s">
        <v>373</v>
      </c>
      <c r="K72" s="31">
        <v>1</v>
      </c>
      <c r="L72" s="31">
        <v>1</v>
      </c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32"/>
      <c r="X72" s="22" t="str">
        <f t="shared" si="2"/>
        <v>,(68,"아비브 부활초 크림 뉴트리션 튜브",9800,1,"","아비브 부활초 크림 뉴트리션 튜브.jpg","02","0204",1,1)</v>
      </c>
    </row>
    <row r="73" spans="2:24" x14ac:dyDescent="0.4">
      <c r="B73" s="33">
        <v>69</v>
      </c>
      <c r="C73" s="33">
        <v>69</v>
      </c>
      <c r="D73" s="25" t="s">
        <v>612</v>
      </c>
      <c r="E73" s="25">
        <v>1500</v>
      </c>
      <c r="F73" s="25">
        <v>10</v>
      </c>
      <c r="G73" s="25" t="s">
        <v>566</v>
      </c>
      <c r="H73" s="25" t="s">
        <v>613</v>
      </c>
      <c r="I73" s="33" t="s">
        <v>357</v>
      </c>
      <c r="J73" s="33" t="s">
        <v>370</v>
      </c>
      <c r="K73" s="31">
        <v>1</v>
      </c>
      <c r="L73" s="31">
        <v>1</v>
      </c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32"/>
      <c r="X73" s="22" t="str">
        <f t="shared" si="2"/>
        <v>,(69,"아비브 수분초 콜라겐 젤 마스크팩",1500,10,"","아비브 수분초 콜라겐 젤 마스크팩.jpg","02","0201",1,1)</v>
      </c>
    </row>
    <row r="74" spans="2:24" x14ac:dyDescent="0.4">
      <c r="B74" s="33">
        <v>70</v>
      </c>
      <c r="C74" s="33">
        <v>70</v>
      </c>
      <c r="D74" s="25" t="s">
        <v>614</v>
      </c>
      <c r="E74" s="25">
        <v>6210</v>
      </c>
      <c r="F74" s="25">
        <v>1</v>
      </c>
      <c r="G74" s="25" t="s">
        <v>566</v>
      </c>
      <c r="H74" s="25" t="s">
        <v>615</v>
      </c>
      <c r="I74" s="33" t="s">
        <v>357</v>
      </c>
      <c r="J74" s="33" t="s">
        <v>374</v>
      </c>
      <c r="K74" s="31">
        <v>1</v>
      </c>
      <c r="L74" s="31">
        <v>1</v>
      </c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32"/>
      <c r="X74" s="22" t="str">
        <f t="shared" si="2"/>
        <v>,(70,"아비브 아크네 폼 클렌저 어성초 150ml",6210,1,"","아비브 아크네 폼 클렌저 어성초 150ml.jpg","02","0205",1,1)</v>
      </c>
    </row>
    <row r="75" spans="2:24" x14ac:dyDescent="0.4">
      <c r="B75" s="33">
        <v>71</v>
      </c>
      <c r="C75" s="33">
        <v>71</v>
      </c>
      <c r="D75" s="25" t="s">
        <v>616</v>
      </c>
      <c r="E75" s="25">
        <v>1000</v>
      </c>
      <c r="F75" s="25">
        <v>20</v>
      </c>
      <c r="G75" s="25" t="s">
        <v>566</v>
      </c>
      <c r="H75" s="25" t="s">
        <v>617</v>
      </c>
      <c r="I75" s="33" t="s">
        <v>357</v>
      </c>
      <c r="J75" s="33" t="s">
        <v>370</v>
      </c>
      <c r="K75" s="31">
        <v>1</v>
      </c>
      <c r="L75" s="31">
        <v>1</v>
      </c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32"/>
      <c r="X75" s="22" t="str">
        <f t="shared" si="2"/>
        <v>,(71,"아비브 약산성 pH 시트 마스크",1000,20,"","아비브 약산성 pH 시트 마스크.jpg","02","0201",1,1)</v>
      </c>
    </row>
    <row r="76" spans="2:24" x14ac:dyDescent="0.4">
      <c r="B76" s="33">
        <v>72</v>
      </c>
      <c r="C76" s="33">
        <v>72</v>
      </c>
      <c r="D76" s="25" t="s">
        <v>618</v>
      </c>
      <c r="E76" s="25">
        <v>7990</v>
      </c>
      <c r="F76" s="25">
        <v>1</v>
      </c>
      <c r="G76" s="25" t="s">
        <v>566</v>
      </c>
      <c r="H76" s="25" t="s">
        <v>619</v>
      </c>
      <c r="I76" s="33" t="s">
        <v>357</v>
      </c>
      <c r="J76" s="33" t="s">
        <v>563</v>
      </c>
      <c r="K76" s="31">
        <v>1</v>
      </c>
      <c r="L76" s="31">
        <v>1</v>
      </c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32"/>
      <c r="X76" s="22" t="str">
        <f t="shared" si="2"/>
        <v>,(72,"아비브 어성초 에센스 카밍펌프 50ml",7990,1,"","아비브 어성초 에센스 카밍펌프 50ml.jpg","02","0208",1,1)</v>
      </c>
    </row>
    <row r="77" spans="2:24" x14ac:dyDescent="0.4">
      <c r="B77" s="33">
        <v>73</v>
      </c>
      <c r="C77" s="33">
        <v>73</v>
      </c>
      <c r="D77" s="25" t="s">
        <v>620</v>
      </c>
      <c r="E77" s="25">
        <v>9800</v>
      </c>
      <c r="F77" s="25">
        <v>1</v>
      </c>
      <c r="G77" s="25" t="s">
        <v>566</v>
      </c>
      <c r="H77" s="25" t="s">
        <v>621</v>
      </c>
      <c r="I77" s="33" t="s">
        <v>357</v>
      </c>
      <c r="J77" s="33" t="s">
        <v>373</v>
      </c>
      <c r="K77" s="31">
        <v>1</v>
      </c>
      <c r="L77" s="31">
        <v>1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32"/>
      <c r="X77" s="22" t="str">
        <f t="shared" si="2"/>
        <v>,(73,"아이브 부활초 크림 뉴트리션 튜브",9800,1,"","아이브 부활초 크림 뉴트리션 튜브.jpg","02","0204",1,1)</v>
      </c>
    </row>
    <row r="78" spans="2:24" x14ac:dyDescent="0.4">
      <c r="B78" s="33">
        <v>74</v>
      </c>
      <c r="C78" s="33">
        <v>74</v>
      </c>
      <c r="D78" s="25" t="s">
        <v>622</v>
      </c>
      <c r="E78" s="25">
        <v>11390</v>
      </c>
      <c r="F78" s="25">
        <v>1</v>
      </c>
      <c r="G78" s="25" t="s">
        <v>566</v>
      </c>
      <c r="H78" s="25" t="s">
        <v>623</v>
      </c>
      <c r="I78" s="33" t="s">
        <v>357</v>
      </c>
      <c r="J78" s="33" t="s">
        <v>373</v>
      </c>
      <c r="K78" s="31">
        <v>1</v>
      </c>
      <c r="L78" s="31">
        <v>1</v>
      </c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32"/>
      <c r="X78" s="22" t="str">
        <f t="shared" si="2"/>
        <v>,(74,"아이소이 블레미쉬 케어 업 크림",11390,1,"","아이소이 블레미쉬 케어 업 크림.jpg","02","0204",1,1)</v>
      </c>
    </row>
    <row r="79" spans="2:24" x14ac:dyDescent="0.4">
      <c r="B79" s="33">
        <v>75</v>
      </c>
      <c r="C79" s="33">
        <v>75</v>
      </c>
      <c r="D79" s="25" t="s">
        <v>624</v>
      </c>
      <c r="E79" s="25">
        <v>11690</v>
      </c>
      <c r="F79" s="25">
        <v>1</v>
      </c>
      <c r="G79" s="25" t="s">
        <v>566</v>
      </c>
      <c r="H79" s="25" t="s">
        <v>625</v>
      </c>
      <c r="I79" s="33" t="s">
        <v>357</v>
      </c>
      <c r="J79" s="33" t="s">
        <v>367</v>
      </c>
      <c r="K79" s="31">
        <v>1</v>
      </c>
      <c r="L79" s="31">
        <v>1</v>
      </c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32"/>
      <c r="X79" s="22" t="str">
        <f t="shared" si="2"/>
        <v>,(75,"아이소이 인텐시브 리프팅 스팟 25ml",11690,1,"","아이소이 인텐시브 리프팅 스팟 25ml.jpg","02","0107",1,1)</v>
      </c>
    </row>
    <row r="80" spans="2:24" x14ac:dyDescent="0.4">
      <c r="B80" s="33">
        <v>76</v>
      </c>
      <c r="C80" s="33">
        <v>76</v>
      </c>
      <c r="D80" s="25" t="s">
        <v>626</v>
      </c>
      <c r="E80" s="25">
        <v>14850</v>
      </c>
      <c r="F80" s="25">
        <v>1</v>
      </c>
      <c r="G80" s="25" t="s">
        <v>566</v>
      </c>
      <c r="H80" s="25" t="s">
        <v>627</v>
      </c>
      <c r="I80" s="33" t="s">
        <v>355</v>
      </c>
      <c r="J80" s="33" t="s">
        <v>538</v>
      </c>
      <c r="K80" s="31">
        <v>1</v>
      </c>
      <c r="L80" s="31">
        <v>1</v>
      </c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32"/>
      <c r="X80" s="22" t="str">
        <f t="shared" si="2"/>
        <v>,(76,"액티브 프로 바이오틱스",14850,1,"","액티브 프로 바이오틱스.jpg","01","0111",1,1)</v>
      </c>
    </row>
    <row r="81" spans="2:24" x14ac:dyDescent="0.4">
      <c r="B81" s="33">
        <v>77</v>
      </c>
      <c r="C81" s="33">
        <v>77</v>
      </c>
      <c r="D81" s="25" t="s">
        <v>628</v>
      </c>
      <c r="E81" s="25">
        <v>6170</v>
      </c>
      <c r="F81" s="25">
        <v>1</v>
      </c>
      <c r="G81" s="25" t="s">
        <v>566</v>
      </c>
      <c r="H81" s="25" t="s">
        <v>629</v>
      </c>
      <c r="I81" s="33" t="s">
        <v>357</v>
      </c>
      <c r="J81" s="33" t="s">
        <v>367</v>
      </c>
      <c r="K81" s="31">
        <v>1</v>
      </c>
      <c r="L81" s="31">
        <v>1</v>
      </c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32"/>
      <c r="X81" s="22" t="str">
        <f t="shared" si="2"/>
        <v>,(77,"이니스프리 시카밤 40ml",6170,1,"","이니스프리 시카밤 40ml.jpg","02","0107",1,1)</v>
      </c>
    </row>
    <row r="82" spans="2:24" x14ac:dyDescent="0.4">
      <c r="B82" s="33">
        <v>78</v>
      </c>
      <c r="C82" s="33">
        <v>78</v>
      </c>
      <c r="D82" s="25" t="s">
        <v>630</v>
      </c>
      <c r="E82" s="25">
        <v>5270</v>
      </c>
      <c r="F82" s="25">
        <v>1</v>
      </c>
      <c r="G82" s="25" t="s">
        <v>566</v>
      </c>
      <c r="H82" s="25" t="s">
        <v>631</v>
      </c>
      <c r="I82" s="33" t="s">
        <v>357</v>
      </c>
      <c r="J82" s="33" t="s">
        <v>374</v>
      </c>
      <c r="K82" s="31">
        <v>1</v>
      </c>
      <c r="L82" s="31">
        <v>1</v>
      </c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32"/>
      <c r="X82" s="22" t="str">
        <f t="shared" si="2"/>
        <v>,(78,"자민경크레마카발로 오일 투 폼 110ml(클렌징폼)",5270,1,"","자민경크레마카발로 오일 투 폼 110ml(클렌징폼).jpg","02","0205",1,1)</v>
      </c>
    </row>
    <row r="83" spans="2:24" x14ac:dyDescent="0.4">
      <c r="B83" s="33">
        <v>79</v>
      </c>
      <c r="C83" s="33">
        <v>79</v>
      </c>
      <c r="D83" s="25" t="s">
        <v>632</v>
      </c>
      <c r="E83" s="25">
        <v>3890</v>
      </c>
      <c r="F83" s="25">
        <v>1</v>
      </c>
      <c r="G83" s="25" t="s">
        <v>566</v>
      </c>
      <c r="H83" s="25" t="s">
        <v>633</v>
      </c>
      <c r="I83" s="33" t="s">
        <v>357</v>
      </c>
      <c r="J83" s="33" t="s">
        <v>555</v>
      </c>
      <c r="K83" s="31">
        <v>1</v>
      </c>
      <c r="L83" s="31">
        <v>1</v>
      </c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32"/>
      <c r="X83" s="22" t="str">
        <f t="shared" si="2"/>
        <v>,(79,"해피바스 오리지널 컬렉션 바디워시 체리블로섬향, 910g",3890,1,"","해피바스 오리지널 컬렉션 바디워시 체리블로섬향, 910g.jpg","02","0307",1,1)</v>
      </c>
    </row>
    <row r="84" spans="2:24" x14ac:dyDescent="0.4">
      <c r="B84" s="33">
        <v>80</v>
      </c>
      <c r="C84" s="33">
        <v>80</v>
      </c>
      <c r="D84" s="25" t="s">
        <v>634</v>
      </c>
      <c r="E84" s="25">
        <v>3140</v>
      </c>
      <c r="F84" s="25">
        <v>1</v>
      </c>
      <c r="G84" s="25" t="s">
        <v>566</v>
      </c>
      <c r="H84" s="25" t="s">
        <v>635</v>
      </c>
      <c r="I84" s="33" t="s">
        <v>355</v>
      </c>
      <c r="J84" s="33" t="s">
        <v>536</v>
      </c>
      <c r="K84" s="31">
        <v>1</v>
      </c>
      <c r="L84" s="31">
        <v>1</v>
      </c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32"/>
      <c r="X84" s="22" t="str">
        <f t="shared" si="2"/>
        <v>,(80,"청정원 프리미엄 굴소스, 500g",3140,1,"","청정원 프리미엄 굴소스, 500g.jpg","01","0110",1,1)</v>
      </c>
    </row>
    <row r="85" spans="2:24" x14ac:dyDescent="0.4">
      <c r="B85" s="33">
        <v>81</v>
      </c>
      <c r="C85" s="33">
        <v>81</v>
      </c>
      <c r="D85" s="25" t="s">
        <v>636</v>
      </c>
      <c r="E85" s="25">
        <v>1500</v>
      </c>
      <c r="F85" s="25">
        <v>1</v>
      </c>
      <c r="G85" s="25" t="s">
        <v>566</v>
      </c>
      <c r="H85" s="25" t="s">
        <v>637</v>
      </c>
      <c r="I85" s="33" t="s">
        <v>355</v>
      </c>
      <c r="J85" s="33" t="s">
        <v>536</v>
      </c>
      <c r="K85" s="31">
        <v>1</v>
      </c>
      <c r="L85" s="31">
        <v>1</v>
      </c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32"/>
      <c r="X85" s="22" t="str">
        <f t="shared" si="2"/>
        <v>,(81,"오뚜기 가쓰오부시장국, 360ml",1500,1,"","오뚜기 가쓰오부시장국, 360ml.jpg","01","0110",1,1)</v>
      </c>
    </row>
    <row r="86" spans="2:24" x14ac:dyDescent="0.4">
      <c r="B86" s="33">
        <v>82</v>
      </c>
      <c r="C86" s="33">
        <v>82</v>
      </c>
      <c r="D86" s="25" t="s">
        <v>638</v>
      </c>
      <c r="E86" s="25">
        <v>2990</v>
      </c>
      <c r="F86" s="25">
        <v>1</v>
      </c>
      <c r="G86" s="25" t="s">
        <v>566</v>
      </c>
      <c r="H86" s="25" t="s">
        <v>639</v>
      </c>
      <c r="I86" s="33" t="s">
        <v>355</v>
      </c>
      <c r="J86" s="33" t="s">
        <v>536</v>
      </c>
      <c r="K86" s="31">
        <v>1</v>
      </c>
      <c r="L86" s="31">
        <v>1</v>
      </c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32"/>
      <c r="X86" s="22" t="str">
        <f t="shared" si="2"/>
        <v>,(82,"고소한 건강 생각 참기름",2990,1,"","고소한 건강 생각 참기름.jpg","01","0110",1,1)</v>
      </c>
    </row>
    <row r="87" spans="2:24" x14ac:dyDescent="0.4">
      <c r="B87" s="33">
        <v>83</v>
      </c>
      <c r="C87" s="33">
        <v>83</v>
      </c>
      <c r="D87" s="25" t="s">
        <v>640</v>
      </c>
      <c r="E87" s="25">
        <v>530</v>
      </c>
      <c r="F87" s="25">
        <v>10</v>
      </c>
      <c r="G87" s="25" t="s">
        <v>566</v>
      </c>
      <c r="H87" s="25" t="s">
        <v>641</v>
      </c>
      <c r="I87" s="33" t="s">
        <v>355</v>
      </c>
      <c r="J87" s="33" t="s">
        <v>362</v>
      </c>
      <c r="K87" s="31">
        <v>1</v>
      </c>
      <c r="L87" s="31">
        <v>1</v>
      </c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32"/>
      <c r="X87" s="22" t="str">
        <f t="shared" si="2"/>
        <v>,(83,"까스활액",530,10,"","까스활액.jpg","01","0102",1,1)</v>
      </c>
    </row>
    <row r="88" spans="2:24" x14ac:dyDescent="0.4">
      <c r="B88" s="33">
        <v>84</v>
      </c>
      <c r="C88" s="33">
        <v>84</v>
      </c>
      <c r="D88" s="25" t="s">
        <v>642</v>
      </c>
      <c r="E88" s="25">
        <v>520</v>
      </c>
      <c r="F88" s="25">
        <v>20</v>
      </c>
      <c r="G88" s="25" t="s">
        <v>566</v>
      </c>
      <c r="H88" s="25" t="s">
        <v>643</v>
      </c>
      <c r="I88" s="33" t="s">
        <v>355</v>
      </c>
      <c r="J88" s="33" t="s">
        <v>361</v>
      </c>
      <c r="K88" s="31">
        <v>1</v>
      </c>
      <c r="L88" s="31">
        <v>1</v>
      </c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32"/>
      <c r="X88" s="22" t="str">
        <f t="shared" si="2"/>
        <v>,(84,"꼬마웨하스바닐라맛",520,20,"","꼬마웨하스바닐라맛.jpg","01","0101",1,1)</v>
      </c>
    </row>
    <row r="89" spans="2:24" x14ac:dyDescent="0.4">
      <c r="B89" s="33">
        <v>85</v>
      </c>
      <c r="C89" s="33">
        <v>85</v>
      </c>
      <c r="D89" s="25" t="s">
        <v>644</v>
      </c>
      <c r="E89" s="25">
        <v>2600</v>
      </c>
      <c r="F89" s="25">
        <v>1</v>
      </c>
      <c r="G89" s="25" t="s">
        <v>566</v>
      </c>
      <c r="H89" s="25" t="s">
        <v>645</v>
      </c>
      <c r="I89" s="33" t="s">
        <v>355</v>
      </c>
      <c r="J89" s="33" t="s">
        <v>365</v>
      </c>
      <c r="K89" s="31">
        <v>1</v>
      </c>
      <c r="L89" s="31">
        <v>1</v>
      </c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32"/>
      <c r="X89" s="22" t="str">
        <f t="shared" si="2"/>
        <v>,(85,"꽃샘 피어나다 국화 유자, 350g",2600,1,"","꽃샘 피어나다 국화 유자, 350g.jpg","01","0105",1,1)</v>
      </c>
    </row>
    <row r="90" spans="2:24" x14ac:dyDescent="0.4">
      <c r="B90" s="33">
        <v>86</v>
      </c>
      <c r="C90" s="33">
        <v>86</v>
      </c>
      <c r="D90" s="25" t="s">
        <v>646</v>
      </c>
      <c r="E90" s="25">
        <v>2280</v>
      </c>
      <c r="F90" s="25">
        <v>1</v>
      </c>
      <c r="G90" s="25" t="s">
        <v>566</v>
      </c>
      <c r="H90" s="25" t="s">
        <v>647</v>
      </c>
      <c r="I90" s="33" t="s">
        <v>355</v>
      </c>
      <c r="J90" s="33" t="s">
        <v>365</v>
      </c>
      <c r="K90" s="31">
        <v>1</v>
      </c>
      <c r="L90" s="31">
        <v>1</v>
      </c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32"/>
      <c r="X90" s="22" t="str">
        <f t="shared" si="2"/>
        <v>,(86,"꽃샘 피어나다 히비스커스 자몽, 350g",2280,1,"","꽃샘 피어나다 히비스커스 자몽, 350g.jpg","01","0105",1,1)</v>
      </c>
    </row>
    <row r="91" spans="2:24" x14ac:dyDescent="0.4">
      <c r="B91" s="33">
        <v>87</v>
      </c>
      <c r="C91" s="33">
        <v>87</v>
      </c>
      <c r="D91" s="25" t="s">
        <v>648</v>
      </c>
      <c r="E91" s="25">
        <v>7670</v>
      </c>
      <c r="F91" s="25">
        <v>1</v>
      </c>
      <c r="G91" s="25" t="s">
        <v>566</v>
      </c>
      <c r="H91" s="25" t="s">
        <v>649</v>
      </c>
      <c r="I91" s="33" t="s">
        <v>355</v>
      </c>
      <c r="J91" s="33" t="s">
        <v>538</v>
      </c>
      <c r="K91" s="31">
        <v>1</v>
      </c>
      <c r="L91" s="31">
        <v>1</v>
      </c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32"/>
      <c r="X91" s="22" t="str">
        <f t="shared" si="2"/>
        <v>,(87,"꿀타이밍 야생화스틱15T",7670,1,"","꿀타이밍 야생화스틱15T.jpg","01","0111",1,1)</v>
      </c>
    </row>
    <row r="92" spans="2:24" x14ac:dyDescent="0.4">
      <c r="B92" s="33">
        <v>88</v>
      </c>
      <c r="C92" s="33">
        <v>88</v>
      </c>
      <c r="D92" s="25" t="s">
        <v>650</v>
      </c>
      <c r="E92" s="25">
        <v>350</v>
      </c>
      <c r="F92" s="25">
        <v>30</v>
      </c>
      <c r="G92" s="25" t="s">
        <v>566</v>
      </c>
      <c r="H92" s="25" t="s">
        <v>651</v>
      </c>
      <c r="I92" s="33" t="s">
        <v>355</v>
      </c>
      <c r="J92" s="33" t="s">
        <v>362</v>
      </c>
      <c r="K92" s="31">
        <v>1</v>
      </c>
      <c r="L92" s="31">
        <v>1</v>
      </c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32"/>
      <c r="X92" s="22" t="str">
        <f t="shared" si="2"/>
        <v>,(88,"나랑드사이다 245ml",350,30,"","나랑드사이다 245ml.jpg","01","0102",1,1)</v>
      </c>
    </row>
    <row r="93" spans="2:24" x14ac:dyDescent="0.4">
      <c r="B93" s="33">
        <v>89</v>
      </c>
      <c r="C93" s="33">
        <v>89</v>
      </c>
      <c r="D93" s="25" t="s">
        <v>652</v>
      </c>
      <c r="E93" s="25">
        <v>370</v>
      </c>
      <c r="F93" s="25">
        <v>30</v>
      </c>
      <c r="G93" s="25" t="s">
        <v>566</v>
      </c>
      <c r="H93" s="25" t="s">
        <v>653</v>
      </c>
      <c r="I93" s="33" t="s">
        <v>355</v>
      </c>
      <c r="J93" s="33" t="s">
        <v>362</v>
      </c>
      <c r="K93" s="31">
        <v>1</v>
      </c>
      <c r="L93" s="31">
        <v>1</v>
      </c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32"/>
      <c r="X93" s="22" t="str">
        <f t="shared" si="2"/>
        <v>,(89,"나랑드사이다 그린애플 245ml",370,30,"","나랑드사이다 그린애플 245ml.jpg","01","0102",1,1)</v>
      </c>
    </row>
    <row r="94" spans="2:24" x14ac:dyDescent="0.4">
      <c r="B94" s="33">
        <v>90</v>
      </c>
      <c r="C94" s="33">
        <v>90</v>
      </c>
      <c r="D94" s="25" t="s">
        <v>654</v>
      </c>
      <c r="E94" s="25">
        <v>360</v>
      </c>
      <c r="F94" s="25">
        <v>30</v>
      </c>
      <c r="G94" s="25" t="s">
        <v>566</v>
      </c>
      <c r="H94" s="25" t="s">
        <v>655</v>
      </c>
      <c r="I94" s="33" t="s">
        <v>355</v>
      </c>
      <c r="J94" s="33" t="s">
        <v>362</v>
      </c>
      <c r="K94" s="31">
        <v>1</v>
      </c>
      <c r="L94" s="31">
        <v>1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32"/>
      <c r="X94" s="22" t="str">
        <f t="shared" si="2"/>
        <v>,(90,"나랑드사이다 파인애플 245ml",360,30,"","나랑드사이다 파인애플 245ml.jpg","01","0102",1,1)</v>
      </c>
    </row>
    <row r="95" spans="2:24" x14ac:dyDescent="0.4">
      <c r="B95" s="33">
        <v>91</v>
      </c>
      <c r="C95" s="33">
        <v>91</v>
      </c>
      <c r="D95" s="25" t="s">
        <v>656</v>
      </c>
      <c r="E95" s="25">
        <v>430</v>
      </c>
      <c r="F95" s="25">
        <v>30</v>
      </c>
      <c r="G95" s="25" t="s">
        <v>566</v>
      </c>
      <c r="H95" s="25" t="s">
        <v>657</v>
      </c>
      <c r="I95" s="33" t="s">
        <v>355</v>
      </c>
      <c r="J95" s="33" t="s">
        <v>362</v>
      </c>
      <c r="K95" s="31">
        <v>1</v>
      </c>
      <c r="L95" s="31">
        <v>1</v>
      </c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32"/>
      <c r="X95" s="22" t="str">
        <f t="shared" si="2"/>
        <v>,(91,"데미소다 복숭아, 250ml",430,30,"","데미소다 복숭아, 250ml.jpg","01","0102",1,1)</v>
      </c>
    </row>
    <row r="96" spans="2:24" x14ac:dyDescent="0.4">
      <c r="B96" s="33">
        <v>92</v>
      </c>
      <c r="C96" s="33">
        <v>92</v>
      </c>
      <c r="D96" s="25" t="s">
        <v>658</v>
      </c>
      <c r="E96" s="25">
        <v>4360</v>
      </c>
      <c r="F96" s="25">
        <v>1</v>
      </c>
      <c r="G96" s="25" t="s">
        <v>566</v>
      </c>
      <c r="H96" s="25" t="s">
        <v>659</v>
      </c>
      <c r="I96" s="33" t="s">
        <v>355</v>
      </c>
      <c r="J96" s="33" t="s">
        <v>367</v>
      </c>
      <c r="K96" s="31">
        <v>1</v>
      </c>
      <c r="L96" s="31">
        <v>1</v>
      </c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32"/>
      <c r="X96" s="22" t="str">
        <f t="shared" si="2"/>
        <v>,(92,"동원참치 고추 참치 4개 90g",4360,1,"","동원참치 고추 참치 4개 90g.jpg","01","0107",1,1)</v>
      </c>
    </row>
    <row r="97" spans="2:24" x14ac:dyDescent="0.4">
      <c r="B97" s="33">
        <v>93</v>
      </c>
      <c r="C97" s="33">
        <v>93</v>
      </c>
      <c r="D97" s="25" t="s">
        <v>660</v>
      </c>
      <c r="E97" s="25">
        <v>4740</v>
      </c>
      <c r="F97" s="25">
        <v>1</v>
      </c>
      <c r="G97" s="25" t="s">
        <v>566</v>
      </c>
      <c r="H97" s="25" t="s">
        <v>661</v>
      </c>
      <c r="I97" s="33" t="s">
        <v>355</v>
      </c>
      <c r="J97" s="33" t="s">
        <v>367</v>
      </c>
      <c r="K97" s="31">
        <v>1</v>
      </c>
      <c r="L97" s="31">
        <v>1</v>
      </c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32"/>
      <c r="X97" s="22" t="str">
        <f t="shared" si="2"/>
        <v>,(93,"동원참치 라이트스탠다드 4개 90g",4740,1,"","동원참치 라이트스탠다드 4개 90g.jpg","01","0107",1,1)</v>
      </c>
    </row>
    <row r="98" spans="2:24" x14ac:dyDescent="0.4">
      <c r="B98" s="33">
        <v>94</v>
      </c>
      <c r="C98" s="33">
        <v>94</v>
      </c>
      <c r="D98" s="25" t="s">
        <v>662</v>
      </c>
      <c r="E98" s="25">
        <v>1790</v>
      </c>
      <c r="F98" s="25">
        <v>5</v>
      </c>
      <c r="G98" s="25" t="s">
        <v>566</v>
      </c>
      <c r="H98" s="25" t="s">
        <v>663</v>
      </c>
      <c r="I98" s="33" t="s">
        <v>355</v>
      </c>
      <c r="J98" s="33" t="s">
        <v>361</v>
      </c>
      <c r="K98" s="31">
        <v>1</v>
      </c>
      <c r="L98" s="31">
        <v>1</v>
      </c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32"/>
      <c r="X98" s="22" t="str">
        <f t="shared" si="2"/>
        <v>,(94,"크라운 NEW 롱스",1790,5,"","크라운 NEW 롱스.jpg","01","0101",1,1)</v>
      </c>
    </row>
    <row r="99" spans="2:24" x14ac:dyDescent="0.4">
      <c r="B99" s="33">
        <v>95</v>
      </c>
      <c r="C99" s="33">
        <v>95</v>
      </c>
      <c r="D99" s="25" t="s">
        <v>664</v>
      </c>
      <c r="E99" s="25">
        <v>1100</v>
      </c>
      <c r="F99" s="25">
        <v>5</v>
      </c>
      <c r="G99" s="25" t="s">
        <v>566</v>
      </c>
      <c r="H99" s="25" t="s">
        <v>665</v>
      </c>
      <c r="I99" s="33" t="s">
        <v>355</v>
      </c>
      <c r="J99" s="33" t="s">
        <v>361</v>
      </c>
      <c r="K99" s="31">
        <v>1</v>
      </c>
      <c r="L99" s="31">
        <v>1</v>
      </c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32"/>
      <c r="X99" s="22" t="str">
        <f t="shared" si="2"/>
        <v>,(95,"몽쉘카카오케이크 6개입",1100,5,"","몽쉘카카오케이크 6개입.jpg","01","0101",1,1)</v>
      </c>
    </row>
    <row r="100" spans="2:24" x14ac:dyDescent="0.4">
      <c r="B100" s="33">
        <v>96</v>
      </c>
      <c r="C100" s="33">
        <v>96</v>
      </c>
      <c r="D100" s="25" t="s">
        <v>666</v>
      </c>
      <c r="E100" s="25">
        <v>400</v>
      </c>
      <c r="F100" s="25">
        <v>30</v>
      </c>
      <c r="G100" s="25" t="s">
        <v>566</v>
      </c>
      <c r="H100" s="25" t="s">
        <v>667</v>
      </c>
      <c r="I100" s="33" t="s">
        <v>355</v>
      </c>
      <c r="J100" s="33" t="s">
        <v>362</v>
      </c>
      <c r="K100" s="31">
        <v>1</v>
      </c>
      <c r="L100" s="31">
        <v>1</v>
      </c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32"/>
      <c r="X100" s="22" t="str">
        <f t="shared" si="2"/>
        <v>,(96,"밀키스제로 250ml",400,30,"","밀키스제로 250ml.jpg","01","0102",1,1)</v>
      </c>
    </row>
    <row r="101" spans="2:24" x14ac:dyDescent="0.4">
      <c r="B101" s="33">
        <v>97</v>
      </c>
      <c r="C101" s="33">
        <v>97</v>
      </c>
      <c r="D101" s="25" t="s">
        <v>668</v>
      </c>
      <c r="E101" s="25">
        <v>500</v>
      </c>
      <c r="F101" s="25">
        <v>10</v>
      </c>
      <c r="G101" s="25" t="s">
        <v>566</v>
      </c>
      <c r="H101" s="25" t="s">
        <v>669</v>
      </c>
      <c r="I101" s="33" t="s">
        <v>355</v>
      </c>
      <c r="J101" s="33" t="s">
        <v>362</v>
      </c>
      <c r="K101" s="31">
        <v>1</v>
      </c>
      <c r="L101" s="31">
        <v>1</v>
      </c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32"/>
      <c r="X101" s="22" t="str">
        <f t="shared" si="2"/>
        <v>,(97,"박카스",500,10,"","박카스.jpg","01","0102",1,1)</v>
      </c>
    </row>
    <row r="102" spans="2:24" x14ac:dyDescent="0.4">
      <c r="B102" s="33">
        <v>98</v>
      </c>
      <c r="C102" s="33">
        <v>98</v>
      </c>
      <c r="D102" s="25" t="s">
        <v>670</v>
      </c>
      <c r="E102" s="25">
        <v>6900</v>
      </c>
      <c r="F102" s="25">
        <v>1</v>
      </c>
      <c r="G102" s="25" t="s">
        <v>566</v>
      </c>
      <c r="H102" s="25" t="s">
        <v>671</v>
      </c>
      <c r="I102" s="33" t="s">
        <v>359</v>
      </c>
      <c r="J102" s="33" t="s">
        <v>555</v>
      </c>
      <c r="K102" s="31">
        <v>1</v>
      </c>
      <c r="L102" s="31">
        <v>1</v>
      </c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32"/>
      <c r="X102" s="22" t="str">
        <f t="shared" si="2"/>
        <v>,(98,"더프트앤도프트 파인 프라그란스 바디미스트 핑크브리즈향, 150ml",6900,1,"","더프트앤도프트 파인 프라그란스 바디미스트 핑크브리즈향, 150ml.jpg","03","0307",1,1)</v>
      </c>
    </row>
    <row r="103" spans="2:24" x14ac:dyDescent="0.4">
      <c r="B103" s="33">
        <v>99</v>
      </c>
      <c r="C103" s="33">
        <v>99</v>
      </c>
      <c r="D103" s="25" t="s">
        <v>672</v>
      </c>
      <c r="E103" s="25">
        <v>7900</v>
      </c>
      <c r="F103" s="25">
        <v>1</v>
      </c>
      <c r="G103" s="25" t="s">
        <v>566</v>
      </c>
      <c r="H103" s="25" t="s">
        <v>673</v>
      </c>
      <c r="I103" s="33" t="s">
        <v>357</v>
      </c>
      <c r="J103" s="33" t="s">
        <v>371</v>
      </c>
      <c r="K103" s="31">
        <v>1</v>
      </c>
      <c r="L103" s="31">
        <v>1</v>
      </c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32"/>
      <c r="X103" s="22" t="str">
        <f t="shared" si="2"/>
        <v>,(99,"닥터지 그린 마일드 업 선 스틱, 20g",7900,1,"","닥터지 그린 마일드 업 선 스틱, 20g.jpg","02","0202",1,1)</v>
      </c>
    </row>
    <row r="104" spans="2:24" x14ac:dyDescent="0.4">
      <c r="B104" s="33">
        <v>100</v>
      </c>
      <c r="C104" s="33">
        <v>100</v>
      </c>
      <c r="D104" s="25" t="s">
        <v>674</v>
      </c>
      <c r="E104" s="25">
        <v>10800</v>
      </c>
      <c r="F104" s="25">
        <v>1</v>
      </c>
      <c r="G104" s="25" t="s">
        <v>566</v>
      </c>
      <c r="H104" s="25" t="s">
        <v>675</v>
      </c>
      <c r="I104" s="33" t="s">
        <v>357</v>
      </c>
      <c r="J104" s="33" t="s">
        <v>563</v>
      </c>
      <c r="K104" s="31">
        <v>1</v>
      </c>
      <c r="L104" s="31">
        <v>1</v>
      </c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32"/>
      <c r="X104" s="22" t="str">
        <f t="shared" si="2"/>
        <v>,(100,"닥터자르트 바이탈 하이드라 솔루션 하이드로 플럼프 트리트먼트 에센스, 150ml",10800,1,"","닥터자르트 바이탈 하이드라 솔루션 하이드로 플럼프 트리트먼트 에센스, 150ml.jpg","02","0208",1,1)</v>
      </c>
    </row>
    <row r="105" spans="2:24" x14ac:dyDescent="0.4">
      <c r="B105" s="33">
        <v>101</v>
      </c>
      <c r="C105" s="33">
        <v>101</v>
      </c>
      <c r="D105" s="25" t="s">
        <v>676</v>
      </c>
      <c r="E105" s="25">
        <v>5700</v>
      </c>
      <c r="F105" s="25">
        <v>1</v>
      </c>
      <c r="G105" s="25" t="s">
        <v>566</v>
      </c>
      <c r="H105" s="25" t="s">
        <v>677</v>
      </c>
      <c r="I105" s="33" t="s">
        <v>357</v>
      </c>
      <c r="J105" s="33" t="s">
        <v>563</v>
      </c>
      <c r="K105" s="31">
        <v>1</v>
      </c>
      <c r="L105" s="31">
        <v>1</v>
      </c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32"/>
      <c r="X105" s="22" t="str">
        <f t="shared" si="2"/>
        <v>,(101,"듀이트리 울트라 바이탈라이징 스네일 에센스워터, 150ml",5700,1,"","듀이트리 울트라 바이탈라이징 스네일 에센스워터, 150ml.jpg","02","0208",1,1)</v>
      </c>
    </row>
    <row r="106" spans="2:24" x14ac:dyDescent="0.4">
      <c r="B106" s="33">
        <v>102</v>
      </c>
      <c r="C106" s="33">
        <v>102</v>
      </c>
      <c r="D106" s="25" t="s">
        <v>678</v>
      </c>
      <c r="E106" s="25">
        <v>40000</v>
      </c>
      <c r="F106" s="25">
        <v>1</v>
      </c>
      <c r="G106" s="25" t="s">
        <v>566</v>
      </c>
      <c r="H106" s="25" t="s">
        <v>679</v>
      </c>
      <c r="I106" s="33" t="s">
        <v>355</v>
      </c>
      <c r="J106" s="33" t="s">
        <v>538</v>
      </c>
      <c r="K106" s="31">
        <v>1</v>
      </c>
      <c r="L106" s="31">
        <v>1</v>
      </c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32"/>
      <c r="X106" s="22" t="str">
        <f t="shared" si="2"/>
        <v>,(102,"정관장 홍삼보운 40ml x 30개입",40000,1,"","정관장 홍삼보운 40ml x 30개입.jpg","01","0111",1,1)</v>
      </c>
    </row>
    <row r="107" spans="2:24" x14ac:dyDescent="0.4">
      <c r="B107" s="33">
        <v>103</v>
      </c>
      <c r="C107" s="33">
        <v>103</v>
      </c>
      <c r="D107" s="25" t="s">
        <v>680</v>
      </c>
      <c r="E107" s="25">
        <v>14590</v>
      </c>
      <c r="F107" s="25">
        <v>1</v>
      </c>
      <c r="G107" s="25" t="s">
        <v>566</v>
      </c>
      <c r="H107" s="25" t="s">
        <v>681</v>
      </c>
      <c r="I107" s="33" t="s">
        <v>357</v>
      </c>
      <c r="J107" s="33" t="s">
        <v>373</v>
      </c>
      <c r="K107" s="31">
        <v>1</v>
      </c>
      <c r="L107" s="31">
        <v>1</v>
      </c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32"/>
      <c r="X107" s="22" t="str">
        <f t="shared" si="2"/>
        <v>,(103,"AHC 에이치 멜라 루트 크림(AHC 기미크림)",14590,1,"","AHC 에이치 멜라 루트 크림(AHC 기미크림).jpg","02","0204",1,1)</v>
      </c>
    </row>
    <row r="108" spans="2:24" x14ac:dyDescent="0.4">
      <c r="B108" s="33">
        <v>104</v>
      </c>
      <c r="C108" s="33">
        <v>104</v>
      </c>
      <c r="D108" s="25" t="s">
        <v>682</v>
      </c>
      <c r="E108" s="25">
        <v>10080</v>
      </c>
      <c r="F108" s="25">
        <v>1</v>
      </c>
      <c r="G108" s="25" t="s">
        <v>566</v>
      </c>
      <c r="H108" s="25" t="s">
        <v>683</v>
      </c>
      <c r="I108" s="33" t="s">
        <v>357</v>
      </c>
      <c r="J108" s="33" t="s">
        <v>373</v>
      </c>
      <c r="K108" s="31">
        <v>1</v>
      </c>
      <c r="L108" s="31">
        <v>1</v>
      </c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32"/>
      <c r="X108" s="22" t="str">
        <f t="shared" si="2"/>
        <v>,(104,"닥터지 블랙 스네일크림, 50ml",10080,1,"","닥터지 블랙 스네일크림, 50ml.jpg","02","0204",1,1)</v>
      </c>
    </row>
    <row r="109" spans="2:24" x14ac:dyDescent="0.4">
      <c r="B109" s="33">
        <v>105</v>
      </c>
      <c r="C109" s="33">
        <v>105</v>
      </c>
      <c r="D109" s="25" t="s">
        <v>684</v>
      </c>
      <c r="E109" s="25">
        <v>11100</v>
      </c>
      <c r="F109" s="25">
        <v>1</v>
      </c>
      <c r="G109" s="25" t="s">
        <v>566</v>
      </c>
      <c r="H109" s="25" t="s">
        <v>685</v>
      </c>
      <c r="I109" s="33" t="s">
        <v>357</v>
      </c>
      <c r="J109" s="33" t="s">
        <v>373</v>
      </c>
      <c r="K109" s="31">
        <v>1</v>
      </c>
      <c r="L109" s="31">
        <v>1</v>
      </c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32"/>
      <c r="X109" s="22" t="str">
        <f t="shared" si="2"/>
        <v>,(105,"닥터지 더모이스처 배리어 D 로션, 200ml",11100,1,"","닥터지 더모이스처 배리어 D 로션, 200ml.jpg","02","0204",1,1)</v>
      </c>
    </row>
    <row r="110" spans="2:24" x14ac:dyDescent="0.4">
      <c r="B110" s="33">
        <v>106</v>
      </c>
      <c r="C110" s="33">
        <v>106</v>
      </c>
      <c r="D110" s="25" t="s">
        <v>686</v>
      </c>
      <c r="E110" s="25">
        <v>6770</v>
      </c>
      <c r="F110" s="25">
        <v>1</v>
      </c>
      <c r="G110" s="25" t="s">
        <v>566</v>
      </c>
      <c r="H110" s="25" t="s">
        <v>687</v>
      </c>
      <c r="I110" s="33" t="s">
        <v>357</v>
      </c>
      <c r="J110" s="33" t="s">
        <v>373</v>
      </c>
      <c r="K110" s="31">
        <v>1</v>
      </c>
      <c r="L110" s="31">
        <v>1</v>
      </c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32"/>
      <c r="X110" s="22" t="str">
        <f t="shared" si="2"/>
        <v>,(106,"닥터지 레드 블레미쉬 클리어 크림, 70ml",6770,1,"","닥터지 레드 블레미쉬 클리어 크림, 70ml.jpg","02","0204",1,1)</v>
      </c>
    </row>
    <row r="111" spans="2:24" x14ac:dyDescent="0.4">
      <c r="B111" s="33">
        <v>107</v>
      </c>
      <c r="C111" s="33">
        <v>107</v>
      </c>
      <c r="D111" s="25" t="s">
        <v>688</v>
      </c>
      <c r="E111" s="25">
        <v>21400</v>
      </c>
      <c r="F111" s="25">
        <v>1</v>
      </c>
      <c r="G111" s="25" t="s">
        <v>566</v>
      </c>
      <c r="H111" s="25" t="s">
        <v>689</v>
      </c>
      <c r="I111" s="33" t="s">
        <v>357</v>
      </c>
      <c r="J111" s="33" t="s">
        <v>373</v>
      </c>
      <c r="K111" s="31">
        <v>1</v>
      </c>
      <c r="L111" s="31">
        <v>1</v>
      </c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32"/>
      <c r="X111" s="22" t="str">
        <f t="shared" si="2"/>
        <v>,(107,"닥터지 로얄 블랙 스네일 탄력 스페셜 세트 (에센스 + 크림 + 아이크림 + 마스크팩)",21400,1,"","닥터지 로얄 블랙 스네일 탄력 스페셜 세트 (에센스 + 크림 + 아이크림 + 마스크팩).jpg","02","0204",1,1)</v>
      </c>
    </row>
    <row r="112" spans="2:24" x14ac:dyDescent="0.4">
      <c r="B112" s="33">
        <v>108</v>
      </c>
      <c r="C112" s="33">
        <v>108</v>
      </c>
      <c r="D112" s="25" t="s">
        <v>690</v>
      </c>
      <c r="E112" s="25">
        <v>21010</v>
      </c>
      <c r="F112" s="25">
        <v>1</v>
      </c>
      <c r="G112" s="25" t="s">
        <v>566</v>
      </c>
      <c r="H112" s="25" t="s">
        <v>691</v>
      </c>
      <c r="I112" s="33" t="s">
        <v>357</v>
      </c>
      <c r="J112" s="33" t="s">
        <v>373</v>
      </c>
      <c r="K112" s="31">
        <v>1</v>
      </c>
      <c r="L112" s="31">
        <v>1</v>
      </c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32"/>
      <c r="X112" s="22" t="str">
        <f t="shared" si="2"/>
        <v>,(108,"듀이트리 울트라 바이탈라이징 스네일 달팽이 3종 세트",21010,1,"","듀이트리 울트라 바이탈라이징 스네일 달팽이 3종 세트.jpg","02","0204",1,1)</v>
      </c>
    </row>
    <row r="113" spans="2:24" x14ac:dyDescent="0.4">
      <c r="B113" s="33">
        <v>109</v>
      </c>
      <c r="C113" s="33">
        <v>109</v>
      </c>
      <c r="D113" s="25" t="s">
        <v>692</v>
      </c>
      <c r="E113" s="25">
        <v>9880</v>
      </c>
      <c r="F113" s="25">
        <v>1</v>
      </c>
      <c r="G113" s="25" t="s">
        <v>566</v>
      </c>
      <c r="H113" s="25" t="s">
        <v>693</v>
      </c>
      <c r="I113" s="33" t="s">
        <v>357</v>
      </c>
      <c r="J113" s="33" t="s">
        <v>373</v>
      </c>
      <c r="K113" s="31">
        <v>1</v>
      </c>
      <c r="L113" s="31">
        <v>1</v>
      </c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32"/>
      <c r="X113" s="22" t="str">
        <f t="shared" si="2"/>
        <v>,(109,"듀이트리 울트라 바이탈라이징 스네일 크림 80ml+샘플 10ml",9880,1,"","듀이트리 울트라 바이탈라이징 스네일 크림 80ml+샘플 10ml.jpg","02","0204",1,1)</v>
      </c>
    </row>
    <row r="114" spans="2:24" x14ac:dyDescent="0.4">
      <c r="B114" s="33">
        <v>110</v>
      </c>
      <c r="C114" s="33">
        <v>110</v>
      </c>
      <c r="D114" s="25" t="s">
        <v>694</v>
      </c>
      <c r="E114" s="25">
        <v>10200</v>
      </c>
      <c r="F114" s="25">
        <v>1</v>
      </c>
      <c r="G114" s="25" t="s">
        <v>566</v>
      </c>
      <c r="H114" s="25" t="s">
        <v>695</v>
      </c>
      <c r="I114" s="33" t="s">
        <v>357</v>
      </c>
      <c r="J114" s="33" t="s">
        <v>373</v>
      </c>
      <c r="K114" s="31">
        <v>1</v>
      </c>
      <c r="L114" s="31">
        <v>1</v>
      </c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32"/>
      <c r="X114" s="22" t="str">
        <f t="shared" si="2"/>
        <v>,(110,"라운드랩 약콩 판테놀 크림, 80ml",10200,1,"","라운드랩 약콩 판테놀 크림, 80ml.jpg","02","0204",1,1)</v>
      </c>
    </row>
    <row r="115" spans="2:24" x14ac:dyDescent="0.4">
      <c r="B115" s="33">
        <v>111</v>
      </c>
      <c r="C115" s="33">
        <v>111</v>
      </c>
      <c r="D115" s="25" t="s">
        <v>696</v>
      </c>
      <c r="E115" s="25">
        <v>2220</v>
      </c>
      <c r="F115" s="25">
        <v>1</v>
      </c>
      <c r="G115" s="25" t="s">
        <v>566</v>
      </c>
      <c r="H115" s="25" t="s">
        <v>697</v>
      </c>
      <c r="I115" s="33" t="s">
        <v>355</v>
      </c>
      <c r="J115" s="33" t="s">
        <v>365</v>
      </c>
      <c r="K115" s="31">
        <v>1</v>
      </c>
      <c r="L115" s="31">
        <v>1</v>
      </c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32"/>
      <c r="X115" s="22" t="str">
        <f t="shared" si="2"/>
        <v>,(111,"제주앤팜 레몬차 스틱 10p",2220,1,"","제주앤팜 레몬차 스틱 10p.jpg","01","0105",1,1)</v>
      </c>
    </row>
    <row r="116" spans="2:24" x14ac:dyDescent="0.4">
      <c r="B116" s="33">
        <v>112</v>
      </c>
      <c r="C116" s="33">
        <v>112</v>
      </c>
      <c r="D116" s="25" t="s">
        <v>698</v>
      </c>
      <c r="E116" s="25">
        <v>2990</v>
      </c>
      <c r="F116" s="25">
        <v>1</v>
      </c>
      <c r="G116" s="25" t="s">
        <v>566</v>
      </c>
      <c r="H116" s="25" t="s">
        <v>699</v>
      </c>
      <c r="I116" s="33" t="s">
        <v>355</v>
      </c>
      <c r="J116" s="33" t="s">
        <v>365</v>
      </c>
      <c r="K116" s="31">
        <v>1</v>
      </c>
      <c r="L116" s="31">
        <v>1</v>
      </c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32"/>
      <c r="X116" s="22" t="str">
        <f t="shared" si="2"/>
        <v>,(112,"제주앤팜 한라봉차 10p",2990,1,"","제주앤팜 한라봉차 10p.jpg","01","0105",1,1)</v>
      </c>
    </row>
    <row r="117" spans="2:24" x14ac:dyDescent="0.4">
      <c r="B117" s="33">
        <v>113</v>
      </c>
      <c r="C117" s="33">
        <v>113</v>
      </c>
      <c r="D117" s="25" t="s">
        <v>700</v>
      </c>
      <c r="E117" s="25">
        <v>560</v>
      </c>
      <c r="F117" s="25">
        <v>20</v>
      </c>
      <c r="G117" s="25" t="s">
        <v>566</v>
      </c>
      <c r="H117" s="25" t="s">
        <v>701</v>
      </c>
      <c r="I117" s="33" t="s">
        <v>355</v>
      </c>
      <c r="J117" s="33" t="s">
        <v>366</v>
      </c>
      <c r="K117" s="31">
        <v>1</v>
      </c>
      <c r="L117" s="31">
        <v>1</v>
      </c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32"/>
      <c r="X117" s="22" t="str">
        <f t="shared" si="2"/>
        <v>,(113,"이클립스 쿨링 소프트 캔디 레몬민트향 45g",560,20,"","이클립스 쿨링 소프트 캔디 레몬민트향 45g.jpg","01","0106",1,1)</v>
      </c>
    </row>
    <row r="118" spans="2:24" x14ac:dyDescent="0.4">
      <c r="B118" s="33">
        <v>114</v>
      </c>
      <c r="C118" s="33">
        <v>114</v>
      </c>
      <c r="D118" s="25" t="s">
        <v>702</v>
      </c>
      <c r="E118" s="25">
        <v>9000</v>
      </c>
      <c r="F118" s="25">
        <v>1</v>
      </c>
      <c r="G118" s="25" t="s">
        <v>566</v>
      </c>
      <c r="H118" s="25" t="s">
        <v>703</v>
      </c>
      <c r="I118" s="33" t="s">
        <v>357</v>
      </c>
      <c r="J118" s="33" t="s">
        <v>545</v>
      </c>
      <c r="K118" s="31">
        <v>1</v>
      </c>
      <c r="L118" s="31">
        <v>1</v>
      </c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32"/>
      <c r="X118" s="22" t="str">
        <f t="shared" si="2"/>
        <v>,(114,"라운드랩 1025 독도 토너 대용량, 500ml",9000,1,"","라운드랩 1025 독도 토너 대용량, 500ml.jpg","02","0206",1,1)</v>
      </c>
    </row>
    <row r="119" spans="2:24" x14ac:dyDescent="0.4">
      <c r="B119" s="33">
        <v>115</v>
      </c>
      <c r="C119" s="33">
        <v>115</v>
      </c>
      <c r="D119" s="25" t="s">
        <v>704</v>
      </c>
      <c r="E119" s="25">
        <v>3750</v>
      </c>
      <c r="F119" s="25">
        <v>1</v>
      </c>
      <c r="G119" s="25" t="s">
        <v>566</v>
      </c>
      <c r="H119" s="25" t="s">
        <v>705</v>
      </c>
      <c r="I119" s="33" t="s">
        <v>357</v>
      </c>
      <c r="J119" s="33" t="s">
        <v>374</v>
      </c>
      <c r="K119" s="31">
        <v>1</v>
      </c>
      <c r="L119" s="31">
        <v>1</v>
      </c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32"/>
      <c r="X119" s="22" t="str">
        <f t="shared" ref="X119:X178" si="3">_xlfn.CONCAT(IF(B119=1,"",","),"(",_xlfn.TEXTJOIN(",",TRUE,C119:W119),")")</f>
        <v>,(115,"마녀공장 퓨리파잉 소다폼, 150ml",3750,1,"","마녀공장 퓨리파잉 소다폼, 150ml.jpg","02","0205",1,1)</v>
      </c>
    </row>
    <row r="120" spans="2:24" x14ac:dyDescent="0.4">
      <c r="B120" s="33">
        <v>116</v>
      </c>
      <c r="C120" s="33">
        <v>116</v>
      </c>
      <c r="D120" s="25" t="s">
        <v>706</v>
      </c>
      <c r="E120" s="25">
        <v>3950</v>
      </c>
      <c r="F120" s="25">
        <v>1</v>
      </c>
      <c r="G120" s="25" t="s">
        <v>566</v>
      </c>
      <c r="H120" s="25" t="s">
        <v>707</v>
      </c>
      <c r="I120" s="33" t="s">
        <v>355</v>
      </c>
      <c r="J120" s="33" t="s">
        <v>536</v>
      </c>
      <c r="K120" s="31">
        <v>1</v>
      </c>
      <c r="L120" s="31">
        <v>1</v>
      </c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32"/>
      <c r="X120" s="22" t="str">
        <f t="shared" si="3"/>
        <v>,(116,"백설 자일로스 설탕 1kg",3950,1,"","백설 자일로스 설탕 1kg.jpg","01","0110",1,1)</v>
      </c>
    </row>
    <row r="121" spans="2:24" x14ac:dyDescent="0.4">
      <c r="B121" s="33">
        <v>117</v>
      </c>
      <c r="C121" s="33">
        <v>117</v>
      </c>
      <c r="D121" s="25" t="s">
        <v>708</v>
      </c>
      <c r="E121" s="25">
        <v>1800</v>
      </c>
      <c r="F121" s="25">
        <v>1</v>
      </c>
      <c r="G121" s="25" t="s">
        <v>566</v>
      </c>
      <c r="H121" s="25" t="s">
        <v>709</v>
      </c>
      <c r="I121" s="33" t="s">
        <v>355</v>
      </c>
      <c r="J121" s="33" t="s">
        <v>536</v>
      </c>
      <c r="K121" s="31">
        <v>1</v>
      </c>
      <c r="L121" s="31">
        <v>1</v>
      </c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32"/>
      <c r="X121" s="22" t="str">
        <f t="shared" si="3"/>
        <v>,(117,"백설 찍어먹는 트러플 솔트 50g",1800,1,"","백설 찍어먹는 트러플 솔트 50g.jpg","01","0110",1,1)</v>
      </c>
    </row>
    <row r="122" spans="2:24" x14ac:dyDescent="0.4">
      <c r="B122" s="33">
        <v>118</v>
      </c>
      <c r="C122" s="33">
        <v>118</v>
      </c>
      <c r="D122" s="25" t="s">
        <v>710</v>
      </c>
      <c r="E122" s="25">
        <v>4350</v>
      </c>
      <c r="F122" s="25">
        <v>1</v>
      </c>
      <c r="G122" s="25" t="s">
        <v>566</v>
      </c>
      <c r="H122" s="25" t="s">
        <v>711</v>
      </c>
      <c r="I122" s="33" t="s">
        <v>355</v>
      </c>
      <c r="J122" s="33" t="s">
        <v>364</v>
      </c>
      <c r="K122" s="31">
        <v>1</v>
      </c>
      <c r="L122" s="31">
        <v>1</v>
      </c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32"/>
      <c r="X122" s="22" t="str">
        <f t="shared" si="3"/>
        <v>,(118,"봉편촌메밀국수2호 850g",4350,1,"","봉편촌메밀국수2호 850g.jpg","01","0104",1,1)</v>
      </c>
    </row>
    <row r="123" spans="2:24" x14ac:dyDescent="0.4">
      <c r="B123" s="33">
        <v>119</v>
      </c>
      <c r="C123" s="33">
        <v>119</v>
      </c>
      <c r="D123" s="25" t="s">
        <v>712</v>
      </c>
      <c r="E123" s="25">
        <v>780</v>
      </c>
      <c r="F123" s="25">
        <v>10</v>
      </c>
      <c r="G123" s="25" t="s">
        <v>566</v>
      </c>
      <c r="H123" s="25" t="s">
        <v>713</v>
      </c>
      <c r="I123" s="33" t="s">
        <v>355</v>
      </c>
      <c r="J123" s="33" t="s">
        <v>361</v>
      </c>
      <c r="K123" s="31">
        <v>1</v>
      </c>
      <c r="L123" s="31">
        <v>1</v>
      </c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32"/>
      <c r="X123" s="22" t="str">
        <f t="shared" si="3"/>
        <v>,(119,"빼빼로 오리지널",780,10,"","빼빼로 오리지널.jpg","01","0101",1,1)</v>
      </c>
    </row>
    <row r="124" spans="2:24" x14ac:dyDescent="0.4">
      <c r="B124" s="33">
        <v>120</v>
      </c>
      <c r="C124" s="33">
        <v>120</v>
      </c>
      <c r="D124" s="25" t="s">
        <v>714</v>
      </c>
      <c r="E124" s="25">
        <v>4600</v>
      </c>
      <c r="F124" s="25">
        <v>1</v>
      </c>
      <c r="G124" s="25" t="s">
        <v>566</v>
      </c>
      <c r="H124" s="25" t="s">
        <v>715</v>
      </c>
      <c r="I124" s="33" t="s">
        <v>355</v>
      </c>
      <c r="J124" s="33" t="s">
        <v>361</v>
      </c>
      <c r="K124" s="31">
        <v>1</v>
      </c>
      <c r="L124" s="31">
        <v>1</v>
      </c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32"/>
      <c r="X124" s="22" t="str">
        <f t="shared" si="3"/>
        <v>,(120,"스페셜k 오리지날 480g",4600,1,"","스페셜k 오리지날 480g.jpg","01","0101",1,1)</v>
      </c>
    </row>
    <row r="125" spans="2:24" x14ac:dyDescent="0.4">
      <c r="B125" s="33">
        <v>121</v>
      </c>
      <c r="C125" s="33">
        <v>121</v>
      </c>
      <c r="D125" s="25" t="s">
        <v>716</v>
      </c>
      <c r="E125" s="25">
        <v>630</v>
      </c>
      <c r="F125" s="25">
        <v>10</v>
      </c>
      <c r="G125" s="25" t="s">
        <v>566</v>
      </c>
      <c r="H125" s="25" t="s">
        <v>717</v>
      </c>
      <c r="I125" s="33" t="s">
        <v>355</v>
      </c>
      <c r="J125" s="33" t="s">
        <v>361</v>
      </c>
      <c r="K125" s="31">
        <v>1</v>
      </c>
      <c r="L125" s="31">
        <v>1</v>
      </c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32"/>
      <c r="X125" s="22" t="str">
        <f t="shared" si="3"/>
        <v>,(121,"아몬드 빼빼로",630,10,"","아몬드 빼빼로.jpg","01","0101",1,1)</v>
      </c>
    </row>
    <row r="126" spans="2:24" x14ac:dyDescent="0.4">
      <c r="B126" s="33">
        <v>122</v>
      </c>
      <c r="C126" s="33">
        <v>122</v>
      </c>
      <c r="D126" s="25" t="s">
        <v>718</v>
      </c>
      <c r="E126" s="25">
        <v>660</v>
      </c>
      <c r="F126" s="25">
        <v>10</v>
      </c>
      <c r="G126" s="25" t="s">
        <v>566</v>
      </c>
      <c r="H126" s="25" t="s">
        <v>719</v>
      </c>
      <c r="I126" s="33" t="s">
        <v>355</v>
      </c>
      <c r="J126" s="33" t="s">
        <v>361</v>
      </c>
      <c r="K126" s="31">
        <v>1</v>
      </c>
      <c r="L126" s="31">
        <v>1</v>
      </c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32"/>
      <c r="X126" s="22" t="str">
        <f t="shared" si="3"/>
        <v>,(122,"아몬드초코볼",660,10,"","아몬드초코볼.jpg","01","0101",1,1)</v>
      </c>
    </row>
    <row r="127" spans="2:24" x14ac:dyDescent="0.4">
      <c r="B127" s="33">
        <v>123</v>
      </c>
      <c r="C127" s="33">
        <v>123</v>
      </c>
      <c r="D127" s="25" t="s">
        <v>720</v>
      </c>
      <c r="E127" s="25">
        <v>4690</v>
      </c>
      <c r="F127" s="25">
        <v>1</v>
      </c>
      <c r="G127" s="25" t="s">
        <v>566</v>
      </c>
      <c r="H127" s="25" t="s">
        <v>721</v>
      </c>
      <c r="I127" s="33" t="s">
        <v>355</v>
      </c>
      <c r="J127" s="33" t="s">
        <v>361</v>
      </c>
      <c r="K127" s="31">
        <v>1</v>
      </c>
      <c r="L127" s="31">
        <v>1</v>
      </c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32"/>
      <c r="X127" s="22" t="str">
        <f t="shared" si="3"/>
        <v>,(123,"아몬드푸레이크",4690,1,"","아몬드푸레이크.jpg","01","0101",1,1)</v>
      </c>
    </row>
    <row r="128" spans="2:24" x14ac:dyDescent="0.4">
      <c r="B128" s="33">
        <v>124</v>
      </c>
      <c r="C128" s="33">
        <v>124</v>
      </c>
      <c r="D128" s="25" t="s">
        <v>722</v>
      </c>
      <c r="E128" s="25">
        <v>630</v>
      </c>
      <c r="F128" s="25">
        <v>10</v>
      </c>
      <c r="G128" s="25" t="s">
        <v>566</v>
      </c>
      <c r="H128" s="25" t="s">
        <v>723</v>
      </c>
      <c r="I128" s="33" t="s">
        <v>355</v>
      </c>
      <c r="J128" s="33" t="s">
        <v>364</v>
      </c>
      <c r="K128" s="31">
        <v>1</v>
      </c>
      <c r="L128" s="31">
        <v>1</v>
      </c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32"/>
      <c r="X128" s="22" t="str">
        <f t="shared" si="3"/>
        <v>,(124,"안성탕면",630,10,"","안성탕면.jpg","01","0104",1,1)</v>
      </c>
    </row>
    <row r="129" spans="2:24" x14ac:dyDescent="0.4">
      <c r="B129" s="33">
        <v>125</v>
      </c>
      <c r="C129" s="33">
        <v>125</v>
      </c>
      <c r="D129" s="25" t="s">
        <v>724</v>
      </c>
      <c r="E129" s="25">
        <v>2640</v>
      </c>
      <c r="F129" s="25">
        <v>5</v>
      </c>
      <c r="G129" s="25" t="s">
        <v>566</v>
      </c>
      <c r="H129" s="25" t="s">
        <v>725</v>
      </c>
      <c r="I129" s="33" t="s">
        <v>355</v>
      </c>
      <c r="J129" s="33" t="s">
        <v>361</v>
      </c>
      <c r="K129" s="31">
        <v>1</v>
      </c>
      <c r="L129" s="31">
        <v>1</v>
      </c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32"/>
      <c r="X129" s="22" t="str">
        <f t="shared" si="3"/>
        <v>,(125,"엄마손파이",2640,5,"","엄마손파이.jpg","01","0101",1,1)</v>
      </c>
    </row>
    <row r="130" spans="2:24" x14ac:dyDescent="0.4">
      <c r="B130" s="33">
        <v>126</v>
      </c>
      <c r="C130" s="33">
        <v>126</v>
      </c>
      <c r="D130" s="25" t="s">
        <v>726</v>
      </c>
      <c r="E130" s="25">
        <v>2340</v>
      </c>
      <c r="F130" s="25">
        <v>1</v>
      </c>
      <c r="G130" s="25" t="s">
        <v>566</v>
      </c>
      <c r="H130" s="25" t="s">
        <v>727</v>
      </c>
      <c r="I130" s="33" t="s">
        <v>355</v>
      </c>
      <c r="J130" s="33" t="s">
        <v>361</v>
      </c>
      <c r="K130" s="31">
        <v>1</v>
      </c>
      <c r="L130" s="31">
        <v>1</v>
      </c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32"/>
      <c r="X130" s="22" t="str">
        <f t="shared" si="3"/>
        <v>,(126,"졸음번쩍껌 울트라파워",2340,1,"","졸음번쩍껌 울트라파워.jpg","01","0101",1,1)</v>
      </c>
    </row>
    <row r="131" spans="2:24" x14ac:dyDescent="0.4">
      <c r="B131" s="33">
        <v>127</v>
      </c>
      <c r="C131" s="33">
        <v>127</v>
      </c>
      <c r="D131" s="25" t="s">
        <v>728</v>
      </c>
      <c r="E131" s="25">
        <v>2390</v>
      </c>
      <c r="F131" s="25">
        <v>1</v>
      </c>
      <c r="G131" s="25" t="s">
        <v>566</v>
      </c>
      <c r="H131" s="25" t="s">
        <v>729</v>
      </c>
      <c r="I131" s="33" t="s">
        <v>355</v>
      </c>
      <c r="J131" s="33" t="s">
        <v>536</v>
      </c>
      <c r="K131" s="31">
        <v>1</v>
      </c>
      <c r="L131" s="31">
        <v>1</v>
      </c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32"/>
      <c r="X131" s="22" t="str">
        <f t="shared" si="3"/>
        <v>,(127,"짜파게티 만능소스 280g",2390,1,"","짜파게티 만능소스 280g.jpg","01","0110",1,1)</v>
      </c>
    </row>
    <row r="132" spans="2:24" x14ac:dyDescent="0.4">
      <c r="B132" s="33">
        <v>128</v>
      </c>
      <c r="C132" s="33">
        <v>128</v>
      </c>
      <c r="D132" s="25" t="s">
        <v>730</v>
      </c>
      <c r="E132" s="25">
        <v>4080</v>
      </c>
      <c r="F132" s="25">
        <v>1</v>
      </c>
      <c r="G132" s="25" t="s">
        <v>566</v>
      </c>
      <c r="H132" s="25" t="s">
        <v>731</v>
      </c>
      <c r="I132" s="33" t="s">
        <v>355</v>
      </c>
      <c r="J132" s="33" t="s">
        <v>361</v>
      </c>
      <c r="K132" s="31">
        <v>1</v>
      </c>
      <c r="L132" s="31">
        <v>1</v>
      </c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32"/>
      <c r="X132" s="22" t="str">
        <f t="shared" si="3"/>
        <v>,(128,"첵스초코 570g",4080,1,"","첵스초코 570g.jpg","01","0101",1,1)</v>
      </c>
    </row>
    <row r="133" spans="2:24" x14ac:dyDescent="0.4">
      <c r="B133" s="33">
        <v>129</v>
      </c>
      <c r="C133" s="33">
        <v>129</v>
      </c>
      <c r="D133" s="25" t="s">
        <v>732</v>
      </c>
      <c r="E133" s="25">
        <v>2120</v>
      </c>
      <c r="F133" s="25">
        <v>5</v>
      </c>
      <c r="G133" s="25" t="s">
        <v>566</v>
      </c>
      <c r="H133" s="25" t="s">
        <v>733</v>
      </c>
      <c r="I133" s="33" t="s">
        <v>355</v>
      </c>
      <c r="J133" s="33" t="s">
        <v>361</v>
      </c>
      <c r="K133" s="31">
        <v>1</v>
      </c>
      <c r="L133" s="31">
        <v>1</v>
      </c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32"/>
      <c r="X133" s="22" t="str">
        <f t="shared" si="3"/>
        <v>,(129,"초코틴인틴",2120,5,"","초코틴인틴.jpg","01","0101",1,1)</v>
      </c>
    </row>
    <row r="134" spans="2:24" x14ac:dyDescent="0.4">
      <c r="B134" s="33">
        <v>130</v>
      </c>
      <c r="C134" s="33">
        <v>130</v>
      </c>
      <c r="D134" s="25" t="s">
        <v>734</v>
      </c>
      <c r="E134" s="25">
        <v>2850</v>
      </c>
      <c r="F134" s="25">
        <v>1</v>
      </c>
      <c r="G134" s="25" t="s">
        <v>566</v>
      </c>
      <c r="H134" s="25" t="s">
        <v>735</v>
      </c>
      <c r="I134" s="33" t="s">
        <v>355</v>
      </c>
      <c r="J134" s="33" t="s">
        <v>361</v>
      </c>
      <c r="K134" s="31">
        <v>1</v>
      </c>
      <c r="L134" s="31">
        <v>1</v>
      </c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32"/>
      <c r="X134" s="22" t="str">
        <f t="shared" si="3"/>
        <v>,(130,"오리온 초코파이 정 468g",2850,1,"","오리온 초코파이 정 468g.jpg","01","0101",1,1)</v>
      </c>
    </row>
    <row r="135" spans="2:24" x14ac:dyDescent="0.4">
      <c r="B135" s="33">
        <v>131</v>
      </c>
      <c r="C135" s="33">
        <v>131</v>
      </c>
      <c r="D135" s="25" t="s">
        <v>736</v>
      </c>
      <c r="E135" s="25">
        <v>420</v>
      </c>
      <c r="F135" s="25">
        <v>30</v>
      </c>
      <c r="G135" s="25" t="s">
        <v>566</v>
      </c>
      <c r="H135" s="25" t="s">
        <v>737</v>
      </c>
      <c r="I135" s="33" t="s">
        <v>355</v>
      </c>
      <c r="J135" s="33" t="s">
        <v>362</v>
      </c>
      <c r="K135" s="31">
        <v>1</v>
      </c>
      <c r="L135" s="31">
        <v>1</v>
      </c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32"/>
      <c r="X135" s="22" t="str">
        <f t="shared" si="3"/>
        <v>,(131,"칠성사이다제로(250ml)",420,30,"","칠성사이다제로(250ml).jpg","01","0102",1,1)</v>
      </c>
    </row>
    <row r="136" spans="2:24" x14ac:dyDescent="0.4">
      <c r="B136" s="33">
        <v>132</v>
      </c>
      <c r="C136" s="33">
        <v>132</v>
      </c>
      <c r="D136" s="25" t="s">
        <v>738</v>
      </c>
      <c r="E136" s="25">
        <v>770</v>
      </c>
      <c r="F136" s="25">
        <v>20</v>
      </c>
      <c r="G136" s="25" t="s">
        <v>566</v>
      </c>
      <c r="H136" s="25" t="s">
        <v>739</v>
      </c>
      <c r="I136" s="33" t="s">
        <v>355</v>
      </c>
      <c r="J136" s="33" t="s">
        <v>362</v>
      </c>
      <c r="K136" s="31">
        <v>1</v>
      </c>
      <c r="L136" s="31">
        <v>1</v>
      </c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32"/>
      <c r="X136" s="22" t="str">
        <f t="shared" si="3"/>
        <v>,(132,"칠성사이다제로(500ml)",770,20,"","칠성사이다제로(500ml).jpg","01","0102",1,1)</v>
      </c>
    </row>
    <row r="137" spans="2:24" x14ac:dyDescent="0.4">
      <c r="B137" s="33">
        <v>133</v>
      </c>
      <c r="C137" s="33">
        <v>133</v>
      </c>
      <c r="D137" s="25" t="s">
        <v>740</v>
      </c>
      <c r="E137" s="25">
        <v>900</v>
      </c>
      <c r="F137" s="25">
        <v>24</v>
      </c>
      <c r="G137" s="25" t="s">
        <v>566</v>
      </c>
      <c r="H137" s="25" t="s">
        <v>741</v>
      </c>
      <c r="I137" s="33" t="s">
        <v>355</v>
      </c>
      <c r="J137" s="33" t="s">
        <v>362</v>
      </c>
      <c r="K137" s="31">
        <v>1</v>
      </c>
      <c r="L137" s="31">
        <v>1</v>
      </c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32"/>
      <c r="X137" s="22" t="str">
        <f t="shared" si="3"/>
        <v>,(133,"콘트라베이스디카페인블랙 500ml",900,24,"","콘트라베이스디카페인블랙 500ml.jpg","01","0102",1,1)</v>
      </c>
    </row>
    <row r="138" spans="2:24" x14ac:dyDescent="0.4">
      <c r="B138" s="33">
        <v>134</v>
      </c>
      <c r="C138" s="33">
        <v>134</v>
      </c>
      <c r="D138" s="25" t="s">
        <v>742</v>
      </c>
      <c r="E138" s="25">
        <v>1490</v>
      </c>
      <c r="F138" s="25">
        <v>5</v>
      </c>
      <c r="G138" s="25" t="s">
        <v>566</v>
      </c>
      <c r="H138" s="25" t="s">
        <v>743</v>
      </c>
      <c r="I138" s="33" t="s">
        <v>355</v>
      </c>
      <c r="J138" s="33" t="s">
        <v>361</v>
      </c>
      <c r="K138" s="31">
        <v>1</v>
      </c>
      <c r="L138" s="31">
        <v>1</v>
      </c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32"/>
      <c r="X138" s="22" t="str">
        <f t="shared" si="3"/>
        <v>,(134,"쿠크다스케이크",1490,5,"","쿠크다스케이크.jpg","01","0101",1,1)</v>
      </c>
    </row>
    <row r="139" spans="2:24" x14ac:dyDescent="0.4">
      <c r="B139" s="33">
        <v>135</v>
      </c>
      <c r="C139" s="33">
        <v>135</v>
      </c>
      <c r="D139" s="25" t="s">
        <v>744</v>
      </c>
      <c r="E139" s="25">
        <v>1830</v>
      </c>
      <c r="F139" s="25">
        <v>5</v>
      </c>
      <c r="G139" s="25" t="s">
        <v>566</v>
      </c>
      <c r="H139" s="25" t="s">
        <v>745</v>
      </c>
      <c r="I139" s="33" t="s">
        <v>355</v>
      </c>
      <c r="J139" s="33" t="s">
        <v>361</v>
      </c>
      <c r="K139" s="31">
        <v>1</v>
      </c>
      <c r="L139" s="31">
        <v>1</v>
      </c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32"/>
      <c r="X139" s="22" t="str">
        <f t="shared" si="3"/>
        <v>,(135,"크라운산도딸기",1830,5,"","크라운산도딸기.jpg","01","0101",1,1)</v>
      </c>
    </row>
    <row r="140" spans="2:24" x14ac:dyDescent="0.4">
      <c r="B140" s="33">
        <v>136</v>
      </c>
      <c r="C140" s="33">
        <v>136</v>
      </c>
      <c r="D140" s="25" t="s">
        <v>746</v>
      </c>
      <c r="E140" s="25">
        <v>680</v>
      </c>
      <c r="F140" s="25">
        <v>10</v>
      </c>
      <c r="G140" s="25" t="s">
        <v>566</v>
      </c>
      <c r="H140" s="25" t="s">
        <v>747</v>
      </c>
      <c r="I140" s="33" t="s">
        <v>355</v>
      </c>
      <c r="J140" s="33" t="s">
        <v>361</v>
      </c>
      <c r="K140" s="31">
        <v>1</v>
      </c>
      <c r="L140" s="31">
        <v>1</v>
      </c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32"/>
      <c r="X140" s="22" t="str">
        <f t="shared" si="3"/>
        <v>,(136,"크런키 빼빼로",680,10,"","크런키 빼빼로.jpg","01","0101",1,1)</v>
      </c>
    </row>
    <row r="141" spans="2:24" x14ac:dyDescent="0.4">
      <c r="B141" s="33">
        <v>137</v>
      </c>
      <c r="C141" s="33">
        <v>137</v>
      </c>
      <c r="D141" s="25" t="s">
        <v>748</v>
      </c>
      <c r="E141" s="25">
        <v>410</v>
      </c>
      <c r="F141" s="25">
        <v>15</v>
      </c>
      <c r="G141" s="25" t="s">
        <v>566</v>
      </c>
      <c r="H141" s="25" t="s">
        <v>749</v>
      </c>
      <c r="I141" s="33" t="s">
        <v>355</v>
      </c>
      <c r="J141" s="33" t="s">
        <v>361</v>
      </c>
      <c r="K141" s="31">
        <v>1</v>
      </c>
      <c r="L141" s="31">
        <v>1</v>
      </c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32"/>
      <c r="X141" s="22" t="str">
        <f t="shared" si="3"/>
        <v>,(137,"키캣 4핑거",410,15,"","키캣 4핑거.jpg","01","0101",1,1)</v>
      </c>
    </row>
    <row r="142" spans="2:24" x14ac:dyDescent="0.4">
      <c r="B142" s="33">
        <v>138</v>
      </c>
      <c r="C142" s="33">
        <v>138</v>
      </c>
      <c r="D142" s="25" t="s">
        <v>750</v>
      </c>
      <c r="E142" s="25">
        <v>4000</v>
      </c>
      <c r="F142" s="25">
        <v>1</v>
      </c>
      <c r="G142" s="25" t="s">
        <v>566</v>
      </c>
      <c r="H142" s="25" t="s">
        <v>751</v>
      </c>
      <c r="I142" s="33" t="s">
        <v>355</v>
      </c>
      <c r="J142" s="33" t="s">
        <v>361</v>
      </c>
      <c r="K142" s="31">
        <v>1</v>
      </c>
      <c r="L142" s="31">
        <v>1</v>
      </c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32"/>
      <c r="X142" s="22" t="str">
        <f t="shared" si="3"/>
        <v>,(138,"탑플롯젤리 망고맛 320g",4000,1,"","탑플롯젤리 망고맛 320g.jpg","01","0101",1,1)</v>
      </c>
    </row>
    <row r="143" spans="2:24" x14ac:dyDescent="0.4">
      <c r="B143" s="33">
        <v>139</v>
      </c>
      <c r="C143" s="33">
        <v>139</v>
      </c>
      <c r="D143" s="25" t="s">
        <v>752</v>
      </c>
      <c r="E143" s="25">
        <v>2120</v>
      </c>
      <c r="F143" s="25">
        <v>1</v>
      </c>
      <c r="G143" s="25" t="s">
        <v>566</v>
      </c>
      <c r="H143" s="25" t="s">
        <v>753</v>
      </c>
      <c r="I143" s="33" t="s">
        <v>355</v>
      </c>
      <c r="J143" s="33" t="s">
        <v>361</v>
      </c>
      <c r="K143" s="31">
        <v>1</v>
      </c>
      <c r="L143" s="31">
        <v>1</v>
      </c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32"/>
      <c r="X143" s="22" t="str">
        <f t="shared" si="3"/>
        <v>,(139,"틴인틴",2120,1,"","틴인틴.jpg","01","0101",1,1)</v>
      </c>
    </row>
    <row r="144" spans="2:24" x14ac:dyDescent="0.4">
      <c r="B144" s="33">
        <v>140</v>
      </c>
      <c r="C144" s="33">
        <v>140</v>
      </c>
      <c r="D144" s="25" t="s">
        <v>754</v>
      </c>
      <c r="E144" s="25">
        <v>1250</v>
      </c>
      <c r="F144" s="25">
        <v>12</v>
      </c>
      <c r="G144" s="25" t="s">
        <v>566</v>
      </c>
      <c r="H144" s="25" t="s">
        <v>755</v>
      </c>
      <c r="I144" s="33" t="s">
        <v>355</v>
      </c>
      <c r="J144" s="33" t="s">
        <v>361</v>
      </c>
      <c r="K144" s="31">
        <v>1</v>
      </c>
      <c r="L144" s="31">
        <v>1</v>
      </c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32"/>
      <c r="X144" s="22" t="str">
        <f t="shared" si="3"/>
        <v>,(140,"프링글스 오리지날",1250,12,"","프링글스 오리지날.jpg","01","0101",1,1)</v>
      </c>
    </row>
    <row r="145" spans="2:24" x14ac:dyDescent="0.4">
      <c r="B145" s="33">
        <v>141</v>
      </c>
      <c r="C145" s="33">
        <v>141</v>
      </c>
      <c r="D145" s="25" t="s">
        <v>756</v>
      </c>
      <c r="E145" s="25">
        <v>500</v>
      </c>
      <c r="F145" s="25">
        <v>10</v>
      </c>
      <c r="G145" s="25" t="s">
        <v>566</v>
      </c>
      <c r="H145" s="25" t="s">
        <v>757</v>
      </c>
      <c r="I145" s="33" t="s">
        <v>355</v>
      </c>
      <c r="J145" s="33" t="s">
        <v>361</v>
      </c>
      <c r="K145" s="31">
        <v>1</v>
      </c>
      <c r="L145" s="31">
        <v>1</v>
      </c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32"/>
      <c r="X145" s="22" t="str">
        <f t="shared" si="3"/>
        <v>,(141,"피시스낵 스파이스맛",500,10,"","피시스낵 스파이스맛.jpg","01","0101",1,1)</v>
      </c>
    </row>
    <row r="146" spans="2:24" x14ac:dyDescent="0.4">
      <c r="B146" s="33">
        <v>142</v>
      </c>
      <c r="C146" s="33">
        <v>142</v>
      </c>
      <c r="D146" s="25" t="s">
        <v>393</v>
      </c>
      <c r="E146" s="25">
        <v>710</v>
      </c>
      <c r="F146" s="25">
        <v>24</v>
      </c>
      <c r="G146" s="25" t="s">
        <v>566</v>
      </c>
      <c r="H146" s="25" t="s">
        <v>440</v>
      </c>
      <c r="I146" s="33" t="s">
        <v>355</v>
      </c>
      <c r="J146" s="33" t="s">
        <v>362</v>
      </c>
      <c r="K146" s="31">
        <v>1</v>
      </c>
      <c r="L146" s="31">
        <v>1</v>
      </c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32"/>
      <c r="X146" s="22" t="str">
        <f t="shared" si="3"/>
        <v>,(142,"핫식스더킹러쉬 355ml",710,24,"","핫식스더킹러쉬 355ml.jpg","01","0102",1,1)</v>
      </c>
    </row>
    <row r="147" spans="2:24" x14ac:dyDescent="0.4">
      <c r="B147" s="33">
        <v>143</v>
      </c>
      <c r="C147" s="33">
        <v>143</v>
      </c>
      <c r="D147" s="25" t="s">
        <v>758</v>
      </c>
      <c r="E147" s="25">
        <v>850</v>
      </c>
      <c r="F147" s="25">
        <v>24</v>
      </c>
      <c r="G147" s="25" t="s">
        <v>566</v>
      </c>
      <c r="H147" s="25" t="s">
        <v>759</v>
      </c>
      <c r="I147" s="33" t="s">
        <v>355</v>
      </c>
      <c r="J147" s="33" t="s">
        <v>362</v>
      </c>
      <c r="K147" s="31">
        <v>1</v>
      </c>
      <c r="L147" s="31">
        <v>1</v>
      </c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32"/>
      <c r="X147" s="22" t="str">
        <f t="shared" si="3"/>
        <v>,(143,"핫식스더킹크러쉬피치 355ml",850,24,"","핫식스더킹크러쉬피치 355ml.jpg","01","0102",1,1)</v>
      </c>
    </row>
    <row r="148" spans="2:24" x14ac:dyDescent="0.4">
      <c r="B148" s="33">
        <v>144</v>
      </c>
      <c r="C148" s="33">
        <v>144</v>
      </c>
      <c r="D148" s="25" t="s">
        <v>917</v>
      </c>
      <c r="E148" s="25">
        <v>720</v>
      </c>
      <c r="F148" s="25">
        <v>10</v>
      </c>
      <c r="G148" s="25" t="s">
        <v>566</v>
      </c>
      <c r="H148" s="25" t="s">
        <v>760</v>
      </c>
      <c r="I148" s="33" t="s">
        <v>355</v>
      </c>
      <c r="J148" s="33" t="s">
        <v>361</v>
      </c>
      <c r="K148" s="31">
        <v>1</v>
      </c>
      <c r="L148" s="31">
        <v>1</v>
      </c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32"/>
      <c r="X148" s="22" t="str">
        <f t="shared" si="3"/>
        <v>,(144,"화이트쿠키 빼빼로",720,10,"","화이트쿠키 빼뺴로.jpg","01","0101",1,1)</v>
      </c>
    </row>
    <row r="149" spans="2:24" x14ac:dyDescent="0.4">
      <c r="B149" s="33">
        <v>145</v>
      </c>
      <c r="C149" s="33">
        <v>145</v>
      </c>
      <c r="D149" s="25" t="s">
        <v>761</v>
      </c>
      <c r="E149" s="25">
        <v>1900</v>
      </c>
      <c r="F149" s="25">
        <v>5</v>
      </c>
      <c r="G149" s="25" t="s">
        <v>566</v>
      </c>
      <c r="H149" s="25" t="s">
        <v>762</v>
      </c>
      <c r="I149" s="33" t="s">
        <v>355</v>
      </c>
      <c r="J149" s="33" t="s">
        <v>361</v>
      </c>
      <c r="K149" s="31">
        <v>1</v>
      </c>
      <c r="L149" s="31">
        <v>1</v>
      </c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32"/>
      <c r="X149" s="22" t="str">
        <f t="shared" si="3"/>
        <v>,(145,"후레쉬베리 6개입",1900,5,"","후레쉬베리 6개입.jpg","01","0101",1,1)</v>
      </c>
    </row>
    <row r="150" spans="2:24" x14ac:dyDescent="0.4">
      <c r="B150" s="33">
        <v>146</v>
      </c>
      <c r="C150" s="33">
        <v>146</v>
      </c>
      <c r="D150" s="25" t="s">
        <v>763</v>
      </c>
      <c r="E150" s="25">
        <v>11830</v>
      </c>
      <c r="F150" s="25">
        <v>1</v>
      </c>
      <c r="G150" s="25" t="s">
        <v>566</v>
      </c>
      <c r="H150" s="25" t="s">
        <v>764</v>
      </c>
      <c r="I150" s="33" t="s">
        <v>359</v>
      </c>
      <c r="J150" s="33" t="s">
        <v>378</v>
      </c>
      <c r="K150" s="31">
        <v>1</v>
      </c>
      <c r="L150" s="31">
        <v>1</v>
      </c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32"/>
      <c r="X150" s="22" t="str">
        <f t="shared" si="3"/>
        <v>,(146,"질레트프로글라이드",11830,1,"","질레트프로글라이드.jpg","03","0304",1,1)</v>
      </c>
    </row>
    <row r="151" spans="2:24" x14ac:dyDescent="0.4">
      <c r="B151" s="33">
        <v>147</v>
      </c>
      <c r="C151" s="33">
        <v>147</v>
      </c>
      <c r="D151" s="25" t="s">
        <v>765</v>
      </c>
      <c r="E151" s="25">
        <v>3590</v>
      </c>
      <c r="F151" s="25">
        <v>1</v>
      </c>
      <c r="G151" s="25" t="s">
        <v>566</v>
      </c>
      <c r="H151" s="25" t="s">
        <v>766</v>
      </c>
      <c r="I151" s="33" t="s">
        <v>359</v>
      </c>
      <c r="J151" s="33" t="s">
        <v>551</v>
      </c>
      <c r="K151" s="31">
        <v>1</v>
      </c>
      <c r="L151" s="31">
        <v>1</v>
      </c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32"/>
      <c r="X151" s="22" t="str">
        <f t="shared" si="3"/>
        <v>,(147,"2080닥터크리닉잇몸치약(3개 묶음)",3590,1,"","2080닥터크리닉잇몸치약(3개 묶음).jpg","03","0305",1,1)</v>
      </c>
    </row>
    <row r="152" spans="2:24" x14ac:dyDescent="0.4">
      <c r="B152" s="33">
        <v>148</v>
      </c>
      <c r="C152" s="33">
        <v>148</v>
      </c>
      <c r="D152" s="25" t="s">
        <v>767</v>
      </c>
      <c r="E152" s="25">
        <v>9900</v>
      </c>
      <c r="F152" s="25">
        <v>1</v>
      </c>
      <c r="G152" s="25" t="s">
        <v>566</v>
      </c>
      <c r="H152" s="25" t="s">
        <v>768</v>
      </c>
      <c r="I152" s="33" t="s">
        <v>359</v>
      </c>
      <c r="J152" s="33" t="s">
        <v>557</v>
      </c>
      <c r="K152" s="31">
        <v>1</v>
      </c>
      <c r="L152" s="31">
        <v>1</v>
      </c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32"/>
      <c r="X152" s="22" t="str">
        <f t="shared" si="3"/>
        <v>,(148,"AIR MESH 로카티 GMR904",9900,1,"","AIR MESH 로카티 GMR904.jpg","03","0308",1,1)</v>
      </c>
    </row>
    <row r="153" spans="2:24" x14ac:dyDescent="0.4">
      <c r="B153" s="33">
        <v>149</v>
      </c>
      <c r="C153" s="33">
        <v>149</v>
      </c>
      <c r="D153" s="25" t="s">
        <v>769</v>
      </c>
      <c r="E153" s="25">
        <v>9900</v>
      </c>
      <c r="F153" s="25">
        <v>1</v>
      </c>
      <c r="G153" s="25" t="s">
        <v>566</v>
      </c>
      <c r="H153" s="25" t="s">
        <v>770</v>
      </c>
      <c r="I153" s="33" t="s">
        <v>359</v>
      </c>
      <c r="J153" s="33" t="s">
        <v>557</v>
      </c>
      <c r="K153" s="31">
        <v>1</v>
      </c>
      <c r="L153" s="31">
        <v>1</v>
      </c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32"/>
      <c r="X153" s="22" t="str">
        <f t="shared" si="3"/>
        <v>,(149,"ROKA 반팔티",9900,1,"","ROKA 반팔티.jpg","03","0308",1,1)</v>
      </c>
    </row>
    <row r="154" spans="2:24" x14ac:dyDescent="0.4">
      <c r="B154" s="33">
        <v>150</v>
      </c>
      <c r="C154" s="33">
        <v>150</v>
      </c>
      <c r="D154" s="25" t="s">
        <v>771</v>
      </c>
      <c r="E154" s="25">
        <v>2700</v>
      </c>
      <c r="F154" s="25">
        <v>1</v>
      </c>
      <c r="G154" s="25" t="s">
        <v>566</v>
      </c>
      <c r="H154" s="25" t="s">
        <v>772</v>
      </c>
      <c r="I154" s="33" t="s">
        <v>359</v>
      </c>
      <c r="J154" s="33" t="s">
        <v>376</v>
      </c>
      <c r="K154" s="31">
        <v>1</v>
      </c>
      <c r="L154" s="31">
        <v>1</v>
      </c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32"/>
      <c r="X154" s="22" t="str">
        <f t="shared" si="3"/>
        <v>,(150,"고농축피죤 써니가든 1.6L",2700,1,"","고농축피죤 써니가든 1.6L.jpg","03","0302",1,1)</v>
      </c>
    </row>
    <row r="155" spans="2:24" x14ac:dyDescent="0.4">
      <c r="B155" s="33">
        <v>151</v>
      </c>
      <c r="C155" s="33">
        <v>151</v>
      </c>
      <c r="D155" s="25" t="s">
        <v>773</v>
      </c>
      <c r="E155" s="25">
        <v>4490</v>
      </c>
      <c r="F155" s="25">
        <v>1</v>
      </c>
      <c r="G155" s="25" t="s">
        <v>566</v>
      </c>
      <c r="H155" s="25" t="s">
        <v>774</v>
      </c>
      <c r="I155" s="33" t="s">
        <v>359</v>
      </c>
      <c r="J155" s="33" t="s">
        <v>376</v>
      </c>
      <c r="K155" s="31">
        <v>1</v>
      </c>
      <c r="L155" s="31">
        <v>1</v>
      </c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32"/>
      <c r="X155" s="22" t="str">
        <f t="shared" si="3"/>
        <v>,(151,"고농축피죤 플라워페스티벌 2.3L",4490,1,"","고농축피죤 플라워페스티벌 2.3L.jpg","03","0302",1,1)</v>
      </c>
    </row>
    <row r="156" spans="2:24" x14ac:dyDescent="0.4">
      <c r="B156" s="33">
        <v>152</v>
      </c>
      <c r="C156" s="33">
        <v>152</v>
      </c>
      <c r="D156" s="25" t="s">
        <v>775</v>
      </c>
      <c r="E156" s="25">
        <v>1300</v>
      </c>
      <c r="F156" s="25">
        <v>5</v>
      </c>
      <c r="G156" s="25" t="s">
        <v>566</v>
      </c>
      <c r="H156" s="25" t="s">
        <v>776</v>
      </c>
      <c r="I156" s="33" t="s">
        <v>359</v>
      </c>
      <c r="J156" s="33" t="s">
        <v>551</v>
      </c>
      <c r="K156" s="31">
        <v>1</v>
      </c>
      <c r="L156" s="31">
        <v>1</v>
      </c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32"/>
      <c r="X156" s="22" t="str">
        <f t="shared" si="3"/>
        <v>,(152,"2080 덴탈크리닉 뉴샤이닝 화이트 치약, 140g",1300,5,"","2080 덴탈크리닉 뉴샤이닝 화이트 치약, 140g.jpg","03","0305",1,1)</v>
      </c>
    </row>
    <row r="157" spans="2:24" x14ac:dyDescent="0.4">
      <c r="B157" s="33">
        <v>153</v>
      </c>
      <c r="C157" s="33">
        <v>153</v>
      </c>
      <c r="D157" s="25" t="s">
        <v>777</v>
      </c>
      <c r="E157" s="25">
        <v>2400</v>
      </c>
      <c r="F157" s="25">
        <v>1</v>
      </c>
      <c r="G157" s="25" t="s">
        <v>566</v>
      </c>
      <c r="H157" s="25" t="s">
        <v>778</v>
      </c>
      <c r="I157" s="33" t="s">
        <v>359</v>
      </c>
      <c r="J157" s="33" t="s">
        <v>367</v>
      </c>
      <c r="K157" s="31">
        <v>1</v>
      </c>
      <c r="L157" s="31">
        <v>1</v>
      </c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32"/>
      <c r="X157" s="22" t="str">
        <f t="shared" si="3"/>
        <v>,(153,"스팀베이스 데일리 아이마스크 라벤더향, 14매입",2400,1,"","스팀베이스 데일리 아이마스크 라벤더향, 14매입.jpg","03","0107",1,1)</v>
      </c>
    </row>
    <row r="158" spans="2:24" x14ac:dyDescent="0.4">
      <c r="B158" s="33">
        <v>154</v>
      </c>
      <c r="C158" s="33">
        <v>154</v>
      </c>
      <c r="D158" s="25" t="s">
        <v>779</v>
      </c>
      <c r="E158" s="25">
        <v>6860</v>
      </c>
      <c r="F158" s="25">
        <v>1</v>
      </c>
      <c r="G158" s="25" t="s">
        <v>566</v>
      </c>
      <c r="H158" s="25" t="s">
        <v>780</v>
      </c>
      <c r="I158" s="33" t="s">
        <v>359</v>
      </c>
      <c r="J158" s="33" t="s">
        <v>553</v>
      </c>
      <c r="K158" s="31">
        <v>1</v>
      </c>
      <c r="L158" s="31">
        <v>1</v>
      </c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32"/>
      <c r="X158" s="22" t="str">
        <f t="shared" si="3"/>
        <v>,(154,"라보에이치 프로바이오틱스 탈모증상완화 샴푸 두피쿨링, 400ml",6860,1,"","라보에이치 프로바이오틱스 탈모증상완화 샴푸 두피쿨링, 400ml.jpg","03","0306",1,1)</v>
      </c>
    </row>
    <row r="159" spans="2:24" x14ac:dyDescent="0.4">
      <c r="B159" s="33">
        <v>155</v>
      </c>
      <c r="C159" s="33">
        <v>155</v>
      </c>
      <c r="D159" s="25" t="s">
        <v>781</v>
      </c>
      <c r="E159" s="25">
        <v>4020</v>
      </c>
      <c r="F159" s="25">
        <v>1</v>
      </c>
      <c r="G159" s="25" t="s">
        <v>566</v>
      </c>
      <c r="H159" s="25" t="s">
        <v>782</v>
      </c>
      <c r="I159" s="33" t="s">
        <v>359</v>
      </c>
      <c r="J159" s="33" t="s">
        <v>553</v>
      </c>
      <c r="K159" s="31">
        <v>1</v>
      </c>
      <c r="L159" s="31">
        <v>1</v>
      </c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32"/>
      <c r="X159" s="22" t="str">
        <f t="shared" si="3"/>
        <v>,(155,"려 흑운 모근강화 볼륨케어 샴푸, 500ml",4020,1,"","려 흑운 모근강화 볼륨케어 샴푸, 500ml.jpg","03","0306",1,1)</v>
      </c>
    </row>
    <row r="160" spans="2:24" x14ac:dyDescent="0.4">
      <c r="B160" s="33">
        <v>156</v>
      </c>
      <c r="C160" s="33">
        <v>156</v>
      </c>
      <c r="D160" s="25" t="s">
        <v>783</v>
      </c>
      <c r="E160" s="25">
        <v>2300</v>
      </c>
      <c r="F160" s="25">
        <v>1</v>
      </c>
      <c r="G160" s="25" t="s">
        <v>566</v>
      </c>
      <c r="H160" s="25" t="s">
        <v>784</v>
      </c>
      <c r="I160" s="33" t="s">
        <v>359</v>
      </c>
      <c r="J160" s="33" t="s">
        <v>367</v>
      </c>
      <c r="K160" s="31">
        <v>1</v>
      </c>
      <c r="L160" s="31">
        <v>1</v>
      </c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32"/>
      <c r="X160" s="22" t="str">
        <f t="shared" si="3"/>
        <v>,(156,"마데카메디패치스팟패피 51매",2300,1,"","마데카메디패치스팟패피 51매.jpg","03","0107",1,1)</v>
      </c>
    </row>
    <row r="161" spans="2:24" x14ac:dyDescent="0.4">
      <c r="B161" s="33">
        <v>157</v>
      </c>
      <c r="C161" s="33">
        <v>157</v>
      </c>
      <c r="D161" s="25" t="s">
        <v>785</v>
      </c>
      <c r="E161" s="25">
        <v>2370</v>
      </c>
      <c r="F161" s="25">
        <v>1</v>
      </c>
      <c r="G161" s="25" t="s">
        <v>566</v>
      </c>
      <c r="H161" s="25" t="s">
        <v>786</v>
      </c>
      <c r="I161" s="33" t="s">
        <v>359</v>
      </c>
      <c r="J161" s="33" t="s">
        <v>551</v>
      </c>
      <c r="K161" s="31">
        <v>1</v>
      </c>
      <c r="L161" s="31">
        <v>1</v>
      </c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32"/>
      <c r="X161" s="22" t="str">
        <f t="shared" si="3"/>
        <v>,(157,"메디안 미백과학 치약 플럼민트향",2370,1,"","메디안 미백과학 치약 플럼민트향.jpg","03","0305",1,1)</v>
      </c>
    </row>
    <row r="162" spans="2:24" x14ac:dyDescent="0.4">
      <c r="B162" s="33">
        <v>158</v>
      </c>
      <c r="C162" s="33">
        <v>158</v>
      </c>
      <c r="D162" s="25" t="s">
        <v>787</v>
      </c>
      <c r="E162" s="25">
        <v>11450</v>
      </c>
      <c r="F162" s="25">
        <v>1</v>
      </c>
      <c r="G162" s="25" t="s">
        <v>566</v>
      </c>
      <c r="H162" s="25" t="s">
        <v>788</v>
      </c>
      <c r="I162" s="33" t="s">
        <v>359</v>
      </c>
      <c r="J162" s="33" t="s">
        <v>375</v>
      </c>
      <c r="K162" s="31">
        <v>1</v>
      </c>
      <c r="L162" s="31">
        <v>1</v>
      </c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32"/>
      <c r="X162" s="22" t="str">
        <f t="shared" si="3"/>
        <v>,(158,"불스원 그라스 디퓨저 코튼향(차량방향제)",11450,1,"","불스원 그라스 디퓨저 코튼향(차량방향제).jpg","03","0301",1,1)</v>
      </c>
    </row>
    <row r="163" spans="2:24" x14ac:dyDescent="0.4">
      <c r="B163" s="33">
        <v>159</v>
      </c>
      <c r="C163" s="33">
        <v>159</v>
      </c>
      <c r="D163" s="25" t="s">
        <v>789</v>
      </c>
      <c r="E163" s="25">
        <v>11900</v>
      </c>
      <c r="F163" s="25">
        <v>1</v>
      </c>
      <c r="G163" s="25" t="s">
        <v>566</v>
      </c>
      <c r="H163" s="25" t="s">
        <v>790</v>
      </c>
      <c r="I163" s="33" t="s">
        <v>359</v>
      </c>
      <c r="J163" s="33" t="s">
        <v>551</v>
      </c>
      <c r="K163" s="31">
        <v>1</v>
      </c>
      <c r="L163" s="31">
        <v>1</v>
      </c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32"/>
      <c r="X163" s="22" t="str">
        <f t="shared" si="3"/>
        <v>,(159,"뷰카 클래식 고불소 구취케어 치약 아쿠아민트향 210g 4개",11900,1,"","뷰카 클래식 고불소 구취케어 치약 아쿠아민트향 210g 4개.jpg","03","0305",1,1)</v>
      </c>
    </row>
    <row r="164" spans="2:24" x14ac:dyDescent="0.4">
      <c r="B164" s="33">
        <v>160</v>
      </c>
      <c r="C164" s="33">
        <v>160</v>
      </c>
      <c r="D164" s="25" t="s">
        <v>791</v>
      </c>
      <c r="E164" s="25">
        <v>5070</v>
      </c>
      <c r="F164" s="25">
        <v>1</v>
      </c>
      <c r="G164" s="25" t="s">
        <v>566</v>
      </c>
      <c r="H164" s="25" t="s">
        <v>792</v>
      </c>
      <c r="I164" s="33" t="s">
        <v>359</v>
      </c>
      <c r="J164" s="33" t="s">
        <v>376</v>
      </c>
      <c r="K164" s="31">
        <v>1</v>
      </c>
      <c r="L164" s="31">
        <v>1</v>
      </c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32"/>
      <c r="X164" s="22" t="str">
        <f t="shared" si="3"/>
        <v>,(160,"비트 트리플액션 2.8L(일반)",5070,1,"","비트 트리플액션 2.8L(일반).jpg","03","0302",1,1)</v>
      </c>
    </row>
    <row r="165" spans="2:24" x14ac:dyDescent="0.4">
      <c r="B165" s="33">
        <v>161</v>
      </c>
      <c r="C165" s="33">
        <v>161</v>
      </c>
      <c r="D165" s="25" t="s">
        <v>793</v>
      </c>
      <c r="E165" s="25">
        <v>6570</v>
      </c>
      <c r="F165" s="25">
        <v>1</v>
      </c>
      <c r="G165" s="25" t="s">
        <v>566</v>
      </c>
      <c r="H165" s="25" t="s">
        <v>794</v>
      </c>
      <c r="I165" s="33" t="s">
        <v>359</v>
      </c>
      <c r="J165" s="33" t="s">
        <v>555</v>
      </c>
      <c r="K165" s="31">
        <v>1</v>
      </c>
      <c r="L165" s="31">
        <v>1</v>
      </c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32"/>
      <c r="X165" s="22" t="str">
        <f t="shared" si="3"/>
        <v>,(161,"스킨유 이노센트 컴포티우디 샤워젤 500ml",6570,1,"","스킨유 이노센트 컴포티우디 샤워젤 500ml.jpg","03","0307",1,1)</v>
      </c>
    </row>
    <row r="166" spans="2:24" x14ac:dyDescent="0.4">
      <c r="B166" s="33">
        <v>162</v>
      </c>
      <c r="C166" s="33">
        <v>162</v>
      </c>
      <c r="D166" s="25" t="s">
        <v>795</v>
      </c>
      <c r="E166" s="25">
        <v>4140</v>
      </c>
      <c r="F166" s="25">
        <v>1</v>
      </c>
      <c r="G166" s="25" t="s">
        <v>566</v>
      </c>
      <c r="H166" s="25" t="s">
        <v>796</v>
      </c>
      <c r="I166" s="33" t="s">
        <v>355</v>
      </c>
      <c r="J166" s="33" t="s">
        <v>365</v>
      </c>
      <c r="K166" s="31">
        <v>1</v>
      </c>
      <c r="L166" s="31">
        <v>1</v>
      </c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32"/>
      <c r="X166" s="22" t="str">
        <f t="shared" si="3"/>
        <v>,(162,"아워티 핑크리치 캐모마일티 8p",4140,1,"","아워티 핑크리치 캐모마일티 8p.jpg","01","0105",1,1)</v>
      </c>
    </row>
    <row r="167" spans="2:24" x14ac:dyDescent="0.4">
      <c r="B167" s="33">
        <v>163</v>
      </c>
      <c r="C167" s="33">
        <v>163</v>
      </c>
      <c r="D167" s="25" t="s">
        <v>797</v>
      </c>
      <c r="E167" s="25">
        <v>2690</v>
      </c>
      <c r="F167" s="25">
        <v>1</v>
      </c>
      <c r="G167" s="25" t="s">
        <v>566</v>
      </c>
      <c r="H167" s="25" t="s">
        <v>798</v>
      </c>
      <c r="I167" s="33" t="s">
        <v>359</v>
      </c>
      <c r="J167" s="33" t="s">
        <v>376</v>
      </c>
      <c r="K167" s="31">
        <v>1</v>
      </c>
      <c r="L167" s="31">
        <v>1</v>
      </c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32"/>
      <c r="X167" s="22" t="str">
        <f t="shared" si="3"/>
        <v>,(163,"액츠프리미엄젤 프레쉬 2.7L",2690,1,"","액츠프리미엄젤 프레쉬 2.7L.jpg","03","0302",1,1)</v>
      </c>
    </row>
    <row r="168" spans="2:24" x14ac:dyDescent="0.4">
      <c r="B168" s="33">
        <v>164</v>
      </c>
      <c r="C168" s="33">
        <v>164</v>
      </c>
      <c r="D168" s="25" t="s">
        <v>799</v>
      </c>
      <c r="E168" s="25">
        <v>4650</v>
      </c>
      <c r="F168" s="25">
        <v>1</v>
      </c>
      <c r="G168" s="25" t="s">
        <v>566</v>
      </c>
      <c r="H168" s="25" t="s">
        <v>800</v>
      </c>
      <c r="I168" s="33" t="s">
        <v>359</v>
      </c>
      <c r="J168" s="33" t="s">
        <v>376</v>
      </c>
      <c r="K168" s="31">
        <v>1</v>
      </c>
      <c r="L168" s="31">
        <v>1</v>
      </c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32"/>
      <c r="X168" s="22" t="str">
        <f t="shared" si="3"/>
        <v>,(164,"에코버 울세탁세제 허니듀 750ml",4650,1,"","에코버 울세탁세제 허니듀 750ml.jpg","03","0302",1,1)</v>
      </c>
    </row>
    <row r="169" spans="2:24" x14ac:dyDescent="0.4">
      <c r="B169" s="33">
        <v>165</v>
      </c>
      <c r="C169" s="33">
        <v>165</v>
      </c>
      <c r="D169" s="25" t="s">
        <v>801</v>
      </c>
      <c r="E169" s="25">
        <v>1300</v>
      </c>
      <c r="F169" s="25">
        <v>1</v>
      </c>
      <c r="G169" s="25" t="s">
        <v>566</v>
      </c>
      <c r="H169" s="25" t="s">
        <v>802</v>
      </c>
      <c r="I169" s="33" t="s">
        <v>359</v>
      </c>
      <c r="J169" s="33" t="s">
        <v>551</v>
      </c>
      <c r="K169" s="31">
        <v>1</v>
      </c>
      <c r="L169" s="31">
        <v>1</v>
      </c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32"/>
      <c r="X169" s="22" t="str">
        <f t="shared" si="3"/>
        <v>,(165,"엘지생활건강 히말라야 핑크솔트 담은 펌핑 치약 아이스 카밍 민트 285g",1300,1,"","엘지생활건강 히말라야 핑크솔트 담은 펌핑 치약 아이스 카밍 민트 285g.jpg","03","0305",1,1)</v>
      </c>
    </row>
    <row r="170" spans="2:24" x14ac:dyDescent="0.4">
      <c r="B170" s="33">
        <v>166</v>
      </c>
      <c r="C170" s="33">
        <v>166</v>
      </c>
      <c r="D170" s="25" t="s">
        <v>803</v>
      </c>
      <c r="E170" s="25">
        <v>510</v>
      </c>
      <c r="F170" s="25">
        <v>20</v>
      </c>
      <c r="G170" s="25" t="s">
        <v>566</v>
      </c>
      <c r="H170" s="25" t="s">
        <v>804</v>
      </c>
      <c r="I170" s="33" t="s">
        <v>355</v>
      </c>
      <c r="J170" s="33" t="s">
        <v>361</v>
      </c>
      <c r="K170" s="31">
        <v>1</v>
      </c>
      <c r="L170" s="31">
        <v>1</v>
      </c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32"/>
      <c r="X170" s="22" t="str">
        <f t="shared" si="3"/>
        <v>,(166,"왕고래밥볶음양념맛",510,20,"","왕고래밥볶음양념맛.jpg","01","0101",1,1)</v>
      </c>
    </row>
    <row r="171" spans="2:24" x14ac:dyDescent="0.4">
      <c r="B171" s="33">
        <v>167</v>
      </c>
      <c r="C171" s="33">
        <v>167</v>
      </c>
      <c r="D171" s="25" t="s">
        <v>805</v>
      </c>
      <c r="E171" s="25">
        <v>3450</v>
      </c>
      <c r="F171" s="25">
        <v>1</v>
      </c>
      <c r="G171" s="25" t="s">
        <v>566</v>
      </c>
      <c r="H171" s="25" t="s">
        <v>806</v>
      </c>
      <c r="I171" s="33" t="s">
        <v>359</v>
      </c>
      <c r="J171" s="33" t="s">
        <v>553</v>
      </c>
      <c r="K171" s="31">
        <v>1</v>
      </c>
      <c r="L171" s="31">
        <v>1</v>
      </c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32"/>
      <c r="X171" s="22" t="str">
        <f t="shared" si="3"/>
        <v>,(167,"케라시스 러블리앤로맨틱 퍼퓸샴푸 980ml",3450,1,"","케라시스 러블리앤로맨틱 퍼퓸샴푸 980ml.jpg","03","0306",1,1)</v>
      </c>
    </row>
    <row r="172" spans="2:24" x14ac:dyDescent="0.4">
      <c r="B172" s="33">
        <v>168</v>
      </c>
      <c r="C172" s="33">
        <v>168</v>
      </c>
      <c r="D172" s="25" t="s">
        <v>807</v>
      </c>
      <c r="E172" s="25">
        <v>14500</v>
      </c>
      <c r="F172" s="25">
        <v>1</v>
      </c>
      <c r="G172" s="25" t="s">
        <v>566</v>
      </c>
      <c r="H172" s="25" t="s">
        <v>808</v>
      </c>
      <c r="I172" s="33" t="s">
        <v>359</v>
      </c>
      <c r="J172" s="33" t="s">
        <v>557</v>
      </c>
      <c r="K172" s="31">
        <v>1</v>
      </c>
      <c r="L172" s="31">
        <v>1</v>
      </c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32"/>
      <c r="X172" s="22" t="str">
        <f t="shared" si="3"/>
        <v>,(168,"코오롱 ROKA 반팔티 런닝",14500,1,"","코오롱 ROKA 반팔티 런닝.jpg","03","0308",1,1)</v>
      </c>
    </row>
    <row r="173" spans="2:24" x14ac:dyDescent="0.4">
      <c r="B173" s="33">
        <v>169</v>
      </c>
      <c r="C173" s="33">
        <v>169</v>
      </c>
      <c r="D173" s="25" t="s">
        <v>809</v>
      </c>
      <c r="E173" s="25">
        <v>12560</v>
      </c>
      <c r="F173" s="25">
        <v>1</v>
      </c>
      <c r="G173" s="25" t="s">
        <v>566</v>
      </c>
      <c r="H173" s="25" t="s">
        <v>810</v>
      </c>
      <c r="I173" s="33" t="s">
        <v>359</v>
      </c>
      <c r="J173" s="33" t="s">
        <v>557</v>
      </c>
      <c r="K173" s="31">
        <v>1</v>
      </c>
      <c r="L173" s="31">
        <v>1</v>
      </c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32"/>
      <c r="X173" s="22" t="str">
        <f t="shared" si="3"/>
        <v>,(169,"코오롱 ROKA 반팔티",12560,1,"","코오롱 ROKA 반팔티.jpg","03","0308",1,1)</v>
      </c>
    </row>
    <row r="174" spans="2:24" x14ac:dyDescent="0.4">
      <c r="B174" s="33">
        <v>170</v>
      </c>
      <c r="C174" s="33">
        <v>170</v>
      </c>
      <c r="D174" s="25" t="s">
        <v>811</v>
      </c>
      <c r="E174" s="25">
        <v>8900</v>
      </c>
      <c r="F174" s="25">
        <v>1</v>
      </c>
      <c r="G174" s="25" t="s">
        <v>566</v>
      </c>
      <c r="H174" s="25" t="s">
        <v>812</v>
      </c>
      <c r="I174" s="33" t="s">
        <v>359</v>
      </c>
      <c r="J174" s="33" t="s">
        <v>376</v>
      </c>
      <c r="K174" s="31">
        <v>1</v>
      </c>
      <c r="L174" s="31">
        <v>1</v>
      </c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32"/>
      <c r="X174" s="22" t="str">
        <f t="shared" si="3"/>
        <v>,(170,"테크 특유취 제거 2.7L(일반용)",8900,1,"","테크 특유취 제거 2.7L(일반용).jpg","03","0302",1,1)</v>
      </c>
    </row>
    <row r="175" spans="2:24" x14ac:dyDescent="0.4">
      <c r="B175" s="33">
        <v>171</v>
      </c>
      <c r="C175" s="33">
        <v>171</v>
      </c>
      <c r="D175" s="25" t="s">
        <v>813</v>
      </c>
      <c r="E175" s="25">
        <v>4480</v>
      </c>
      <c r="F175" s="25">
        <v>1</v>
      </c>
      <c r="G175" s="25" t="s">
        <v>566</v>
      </c>
      <c r="H175" s="25" t="s">
        <v>814</v>
      </c>
      <c r="I175" s="33" t="s">
        <v>359</v>
      </c>
      <c r="J175" s="33" t="s">
        <v>553</v>
      </c>
      <c r="K175" s="31">
        <v>1</v>
      </c>
      <c r="L175" s="31">
        <v>1</v>
      </c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32"/>
      <c r="X175" s="22" t="str">
        <f t="shared" si="3"/>
        <v>,(171,"티트리 퓨리파잉 토닉 100ml",4480,1,"","티트리 퓨리파잉 토닉 100ml.jpg","03","0306",1,1)</v>
      </c>
    </row>
    <row r="176" spans="2:24" x14ac:dyDescent="0.4">
      <c r="B176" s="33">
        <v>172</v>
      </c>
      <c r="C176" s="33">
        <v>172</v>
      </c>
      <c r="D176" s="25" t="s">
        <v>815</v>
      </c>
      <c r="E176" s="25">
        <v>9240</v>
      </c>
      <c r="F176" s="25">
        <v>1</v>
      </c>
      <c r="G176" s="25" t="s">
        <v>566</v>
      </c>
      <c r="H176" s="25" t="s">
        <v>816</v>
      </c>
      <c r="I176" s="33" t="s">
        <v>355</v>
      </c>
      <c r="J176" s="33" t="s">
        <v>538</v>
      </c>
      <c r="K176" s="31">
        <v>1</v>
      </c>
      <c r="L176" s="31">
        <v>1</v>
      </c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32"/>
      <c r="X176" s="22" t="str">
        <f t="shared" si="3"/>
        <v>,(172,"하이뮨 프로틴 밸런스",9240,1,"","하이뮨 프로틴 밸런스.jpg","01","0111",1,1)</v>
      </c>
    </row>
    <row r="177" spans="2:24" x14ac:dyDescent="0.4">
      <c r="B177" s="33">
        <v>173</v>
      </c>
      <c r="C177" s="33">
        <v>173</v>
      </c>
      <c r="D177" s="25" t="s">
        <v>817</v>
      </c>
      <c r="E177" s="25">
        <v>4210</v>
      </c>
      <c r="F177" s="25">
        <v>1</v>
      </c>
      <c r="G177" s="25" t="s">
        <v>566</v>
      </c>
      <c r="H177" s="25" t="s">
        <v>818</v>
      </c>
      <c r="I177" s="33" t="s">
        <v>359</v>
      </c>
      <c r="J177" s="33" t="s">
        <v>551</v>
      </c>
      <c r="K177" s="31">
        <v>1</v>
      </c>
      <c r="L177" s="31">
        <v>1</v>
      </c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32"/>
      <c r="X177" s="22" t="str">
        <f t="shared" si="3"/>
        <v>,(173,"히말라야 핑크솔트 담은 칫솔",4210,1,"","히말라야 핑크솔트 담은 칫솔.jpg","03","0305",1,1)</v>
      </c>
    </row>
    <row r="178" spans="2:24" x14ac:dyDescent="0.4">
      <c r="B178" s="33">
        <v>174</v>
      </c>
      <c r="C178" s="33">
        <v>174</v>
      </c>
      <c r="D178" s="25" t="s">
        <v>819</v>
      </c>
      <c r="E178" s="25">
        <v>5700</v>
      </c>
      <c r="F178" s="25">
        <v>1</v>
      </c>
      <c r="G178" s="25" t="s">
        <v>566</v>
      </c>
      <c r="H178" s="25" t="s">
        <v>820</v>
      </c>
      <c r="I178" s="33" t="s">
        <v>357</v>
      </c>
      <c r="J178" s="33" t="s">
        <v>560</v>
      </c>
      <c r="K178" s="31">
        <v>1</v>
      </c>
      <c r="L178" s="31">
        <v>1</v>
      </c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32"/>
      <c r="X178" s="22" t="str">
        <f t="shared" si="3"/>
        <v>,(174,"듀이트리 울트라 바이탈라이징 스네일 에멀전, 150ml",5700,1,"","듀이트리 울트라 바이탈라이징 스네일 에멀전, 150ml.jpg","02","0207",1,1)</v>
      </c>
    </row>
  </sheetData>
  <mergeCells count="1">
    <mergeCell ref="C2:L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241B-3D8D-4E7D-BD20-8CED4E75810E}">
  <dimension ref="B2:X433"/>
  <sheetViews>
    <sheetView topLeftCell="A408" zoomScale="85" zoomScaleNormal="85" workbookViewId="0">
      <selection activeCell="H426" sqref="H426"/>
    </sheetView>
  </sheetViews>
  <sheetFormatPr defaultRowHeight="17.399999999999999" x14ac:dyDescent="0.4"/>
  <cols>
    <col min="1" max="1" width="3.19921875" style="22" customWidth="1"/>
    <col min="2" max="2" width="7.296875" style="34" bestFit="1" customWidth="1"/>
    <col min="3" max="3" width="13.19921875" style="34" bestFit="1" customWidth="1"/>
    <col min="4" max="4" width="15.19921875" style="22" bestFit="1" customWidth="1"/>
    <col min="5" max="5" width="13.19921875" style="22" bestFit="1" customWidth="1"/>
    <col min="6" max="6" width="6.5" style="22" bestFit="1" customWidth="1"/>
    <col min="7" max="7" width="5.3984375" style="22" bestFit="1" customWidth="1"/>
    <col min="8" max="8" width="21.8984375" style="22" bestFit="1" customWidth="1"/>
    <col min="9" max="9" width="12.5" style="34" bestFit="1" customWidth="1"/>
    <col min="10" max="11" width="19.3984375" style="35" bestFit="1" customWidth="1"/>
    <col min="12" max="22" width="12.5" style="22" hidden="1" customWidth="1"/>
    <col min="23" max="23" width="133.3984375" style="22" bestFit="1" customWidth="1"/>
    <col min="24" max="16384" width="8.796875" style="22"/>
  </cols>
  <sheetData>
    <row r="2" spans="2:24" x14ac:dyDescent="0.4">
      <c r="B2" s="21" t="s">
        <v>135</v>
      </c>
      <c r="C2" s="47" t="s">
        <v>881</v>
      </c>
      <c r="D2" s="47"/>
      <c r="E2" s="47"/>
      <c r="F2" s="47"/>
      <c r="G2" s="47"/>
      <c r="H2" s="47"/>
      <c r="I2" s="47"/>
      <c r="J2" s="47"/>
      <c r="K2" s="47"/>
    </row>
    <row r="3" spans="2:24" x14ac:dyDescent="0.4">
      <c r="B3" s="23" t="s">
        <v>1</v>
      </c>
      <c r="C3" s="23" t="s">
        <v>846</v>
      </c>
      <c r="D3" s="23" t="s">
        <v>324</v>
      </c>
      <c r="E3" s="23" t="s">
        <v>316</v>
      </c>
      <c r="F3" s="23" t="s">
        <v>297</v>
      </c>
      <c r="G3" s="23" t="s">
        <v>301</v>
      </c>
      <c r="H3" s="23" t="s">
        <v>483</v>
      </c>
      <c r="I3" s="23" t="s">
        <v>852</v>
      </c>
      <c r="J3" s="23" t="s">
        <v>328</v>
      </c>
      <c r="K3" s="23" t="s">
        <v>520</v>
      </c>
      <c r="L3" s="25"/>
      <c r="M3" s="25"/>
      <c r="N3" s="26"/>
      <c r="O3" s="26"/>
      <c r="P3" s="26"/>
      <c r="Q3" s="26"/>
      <c r="R3" s="26"/>
      <c r="S3" s="26"/>
      <c r="T3" s="26"/>
      <c r="U3" s="26"/>
      <c r="V3" s="27"/>
      <c r="W3" s="28" t="str">
        <f>_xlfn.CONCAT("TRUNCATE ",C2,";")</f>
        <v>TRUNCATE tb_order;</v>
      </c>
    </row>
    <row r="4" spans="2:24" x14ac:dyDescent="0.4">
      <c r="B4" s="23" t="s">
        <v>3</v>
      </c>
      <c r="C4" s="23" t="s">
        <v>847</v>
      </c>
      <c r="D4" s="23" t="s">
        <v>325</v>
      </c>
      <c r="E4" s="23" t="s">
        <v>317</v>
      </c>
      <c r="F4" s="23" t="s">
        <v>298</v>
      </c>
      <c r="G4" s="23" t="s">
        <v>323</v>
      </c>
      <c r="H4" s="23" t="s">
        <v>482</v>
      </c>
      <c r="I4" s="23" t="s">
        <v>853</v>
      </c>
      <c r="J4" s="23" t="s">
        <v>329</v>
      </c>
      <c r="K4" s="23" t="s">
        <v>330</v>
      </c>
      <c r="L4" s="25"/>
      <c r="M4" s="25"/>
      <c r="N4" s="26"/>
      <c r="O4" s="26"/>
      <c r="P4" s="26"/>
      <c r="Q4" s="26"/>
      <c r="R4" s="26"/>
      <c r="S4" s="26"/>
      <c r="T4" s="26"/>
      <c r="U4" s="26"/>
      <c r="V4" s="27"/>
      <c r="W4" s="22" t="str">
        <f>_xlfn.CONCAT("INSERT INTO ",C2, "(", _xlfn.TEXTJOIN(",",TRUE,C3:V3),") VALUES")</f>
        <v>INSERT INTO tb_order(ORDER_SEQ,USER_SEQ,ITEM_SEQ,PRICE,CNT,ORDER_STATUS_CODE,ORDER_DTTI,FST_REG_SEQ,LST_UPD_SEQ) VALUES</v>
      </c>
      <c r="X4" s="22" t="s">
        <v>888</v>
      </c>
    </row>
    <row r="5" spans="2:24" x14ac:dyDescent="0.4">
      <c r="B5" s="36">
        <v>1</v>
      </c>
      <c r="C5" s="36">
        <v>1</v>
      </c>
      <c r="D5" s="36">
        <v>3</v>
      </c>
      <c r="E5" s="33">
        <v>41</v>
      </c>
      <c r="F5" s="36">
        <v>5560</v>
      </c>
      <c r="G5" s="33">
        <v>6</v>
      </c>
      <c r="H5" s="29" t="s">
        <v>837</v>
      </c>
      <c r="I5" s="30" t="s">
        <v>924</v>
      </c>
      <c r="J5" s="31">
        <v>1</v>
      </c>
      <c r="K5" s="31">
        <v>1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32"/>
      <c r="W5" s="22" t="str">
        <f t="shared" ref="W5:W36" si="0">_xlfn.CONCAT(IF(B5=1,"",","),"(",_xlfn.TEXTJOIN(",",TRUE,C5:V5),")")</f>
        <v>(1,3,41,5560,6,"11","2024-03-29",1,1)</v>
      </c>
    </row>
    <row r="6" spans="2:24" x14ac:dyDescent="0.4">
      <c r="B6" s="36">
        <v>2</v>
      </c>
      <c r="C6" s="36">
        <v>2</v>
      </c>
      <c r="D6" s="36">
        <v>18</v>
      </c>
      <c r="E6" s="33">
        <v>48</v>
      </c>
      <c r="F6" s="36">
        <v>4390</v>
      </c>
      <c r="G6" s="33">
        <v>2</v>
      </c>
      <c r="H6" s="29" t="s">
        <v>837</v>
      </c>
      <c r="I6" s="30" t="s">
        <v>924</v>
      </c>
      <c r="J6" s="31">
        <v>1</v>
      </c>
      <c r="K6" s="31">
        <v>1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32"/>
      <c r="W6" s="22" t="str">
        <f t="shared" si="0"/>
        <v>,(2,18,48,4390,2,"11","2024-03-29",1,1)</v>
      </c>
    </row>
    <row r="7" spans="2:24" x14ac:dyDescent="0.4">
      <c r="B7" s="36">
        <v>3</v>
      </c>
      <c r="C7" s="36">
        <v>3</v>
      </c>
      <c r="D7" s="36">
        <v>18</v>
      </c>
      <c r="E7" s="33">
        <v>38</v>
      </c>
      <c r="F7" s="36">
        <v>700</v>
      </c>
      <c r="G7" s="33">
        <v>100</v>
      </c>
      <c r="H7" s="29" t="s">
        <v>887</v>
      </c>
      <c r="I7" s="30" t="s">
        <v>924</v>
      </c>
      <c r="J7" s="31">
        <v>1</v>
      </c>
      <c r="K7" s="31">
        <v>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32"/>
      <c r="W7" s="22" t="str">
        <f t="shared" si="0"/>
        <v>,(3,18,38,700,100,"11","2024-03-29",1,1)</v>
      </c>
    </row>
    <row r="8" spans="2:24" x14ac:dyDescent="0.4">
      <c r="B8" s="36">
        <v>4</v>
      </c>
      <c r="C8" s="36">
        <v>4</v>
      </c>
      <c r="D8" s="36">
        <v>3</v>
      </c>
      <c r="E8" s="33">
        <v>46</v>
      </c>
      <c r="F8" s="36">
        <v>38930</v>
      </c>
      <c r="G8" s="33">
        <v>1</v>
      </c>
      <c r="H8" s="29" t="s">
        <v>887</v>
      </c>
      <c r="I8" s="30" t="s">
        <v>924</v>
      </c>
      <c r="J8" s="31">
        <v>1</v>
      </c>
      <c r="K8" s="31">
        <v>1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32"/>
      <c r="W8" s="22" t="str">
        <f t="shared" si="0"/>
        <v>,(4,3,46,38930,1,"11","2024-03-29",1,1)</v>
      </c>
    </row>
    <row r="9" spans="2:24" x14ac:dyDescent="0.4">
      <c r="B9" s="36">
        <v>5</v>
      </c>
      <c r="C9" s="36">
        <v>5</v>
      </c>
      <c r="D9" s="36">
        <v>23</v>
      </c>
      <c r="E9" s="33">
        <v>1</v>
      </c>
      <c r="F9" s="36">
        <v>2970</v>
      </c>
      <c r="G9" s="33">
        <v>2</v>
      </c>
      <c r="H9" s="29" t="s">
        <v>887</v>
      </c>
      <c r="I9" s="30" t="s">
        <v>924</v>
      </c>
      <c r="J9" s="31">
        <v>1</v>
      </c>
      <c r="K9" s="31">
        <v>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32"/>
      <c r="W9" s="22" t="str">
        <f t="shared" si="0"/>
        <v>,(5,23,1,2970,2,"11","2024-03-29",1,1)</v>
      </c>
    </row>
    <row r="10" spans="2:24" x14ac:dyDescent="0.4">
      <c r="B10" s="36">
        <v>6</v>
      </c>
      <c r="C10" s="36">
        <v>6</v>
      </c>
      <c r="D10" s="36">
        <v>24</v>
      </c>
      <c r="E10" s="33">
        <v>1</v>
      </c>
      <c r="F10" s="36">
        <v>2970</v>
      </c>
      <c r="G10" s="33">
        <v>4</v>
      </c>
      <c r="H10" s="29" t="s">
        <v>887</v>
      </c>
      <c r="I10" s="30" t="s">
        <v>924</v>
      </c>
      <c r="J10" s="31">
        <v>1</v>
      </c>
      <c r="K10" s="31">
        <v>1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32"/>
      <c r="W10" s="22" t="str">
        <f t="shared" si="0"/>
        <v>,(6,24,1,2970,4,"11","2024-03-29",1,1)</v>
      </c>
    </row>
    <row r="11" spans="2:24" x14ac:dyDescent="0.4">
      <c r="B11" s="36">
        <v>7</v>
      </c>
      <c r="C11" s="36">
        <v>7</v>
      </c>
      <c r="D11" s="36">
        <v>9</v>
      </c>
      <c r="E11" s="33">
        <v>15</v>
      </c>
      <c r="F11" s="36">
        <v>680</v>
      </c>
      <c r="G11" s="33">
        <v>20</v>
      </c>
      <c r="H11" s="29" t="s">
        <v>887</v>
      </c>
      <c r="I11" s="30" t="s">
        <v>924</v>
      </c>
      <c r="J11" s="31">
        <v>1</v>
      </c>
      <c r="K11" s="31">
        <v>1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32"/>
      <c r="W11" s="22" t="str">
        <f t="shared" si="0"/>
        <v>,(7,9,15,680,20,"11","2024-03-29",1,1)</v>
      </c>
    </row>
    <row r="12" spans="2:24" x14ac:dyDescent="0.4">
      <c r="B12" s="36">
        <v>8</v>
      </c>
      <c r="C12" s="36">
        <v>8</v>
      </c>
      <c r="D12" s="36">
        <v>14</v>
      </c>
      <c r="E12" s="33">
        <v>15</v>
      </c>
      <c r="F12" s="36">
        <v>680</v>
      </c>
      <c r="G12" s="33">
        <v>20</v>
      </c>
      <c r="H12" s="29" t="s">
        <v>887</v>
      </c>
      <c r="I12" s="30" t="s">
        <v>924</v>
      </c>
      <c r="J12" s="31">
        <v>1</v>
      </c>
      <c r="K12" s="31">
        <v>1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32"/>
      <c r="W12" s="22" t="str">
        <f t="shared" si="0"/>
        <v>,(8,14,15,680,20,"11","2024-03-29",1,1)</v>
      </c>
    </row>
    <row r="13" spans="2:24" x14ac:dyDescent="0.4">
      <c r="B13" s="36">
        <v>9</v>
      </c>
      <c r="C13" s="36">
        <v>9</v>
      </c>
      <c r="D13" s="36">
        <v>14</v>
      </c>
      <c r="E13" s="33">
        <v>140</v>
      </c>
      <c r="F13" s="36">
        <v>1250</v>
      </c>
      <c r="G13" s="33">
        <v>1</v>
      </c>
      <c r="H13" s="29" t="s">
        <v>887</v>
      </c>
      <c r="I13" s="30" t="s">
        <v>924</v>
      </c>
      <c r="J13" s="31">
        <v>1</v>
      </c>
      <c r="K13" s="31">
        <v>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32"/>
      <c r="W13" s="22" t="str">
        <f t="shared" si="0"/>
        <v>,(9,14,140,1250,1,"11","2024-03-29",1,1)</v>
      </c>
    </row>
    <row r="14" spans="2:24" x14ac:dyDescent="0.4">
      <c r="B14" s="36">
        <v>10</v>
      </c>
      <c r="C14" s="36">
        <v>10</v>
      </c>
      <c r="D14" s="36">
        <v>18</v>
      </c>
      <c r="E14" s="33">
        <v>172</v>
      </c>
      <c r="F14" s="36">
        <v>9240</v>
      </c>
      <c r="G14" s="33">
        <v>2</v>
      </c>
      <c r="H14" s="29" t="s">
        <v>887</v>
      </c>
      <c r="I14" s="30" t="s">
        <v>924</v>
      </c>
      <c r="J14" s="31">
        <v>1</v>
      </c>
      <c r="K14" s="31">
        <v>1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32"/>
      <c r="W14" s="22" t="str">
        <f t="shared" si="0"/>
        <v>,(10,18,172,9240,2,"11","2024-03-29",1,1)</v>
      </c>
    </row>
    <row r="15" spans="2:24" x14ac:dyDescent="0.4">
      <c r="B15" s="36">
        <v>11</v>
      </c>
      <c r="C15" s="36">
        <v>11</v>
      </c>
      <c r="D15" s="36">
        <v>19</v>
      </c>
      <c r="E15" s="33">
        <v>40</v>
      </c>
      <c r="F15" s="36">
        <v>8800</v>
      </c>
      <c r="G15" s="33">
        <v>1</v>
      </c>
      <c r="H15" s="29" t="s">
        <v>887</v>
      </c>
      <c r="I15" s="30" t="s">
        <v>923</v>
      </c>
      <c r="J15" s="31">
        <v>1</v>
      </c>
      <c r="K15" s="31">
        <v>1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32"/>
      <c r="W15" s="22" t="str">
        <f t="shared" si="0"/>
        <v>,(11,19,40,8800,1,"11","2024-04-03",1,1)</v>
      </c>
    </row>
    <row r="16" spans="2:24" x14ac:dyDescent="0.4">
      <c r="B16" s="36">
        <v>12</v>
      </c>
      <c r="C16" s="36">
        <v>12</v>
      </c>
      <c r="D16" s="36">
        <v>19</v>
      </c>
      <c r="E16" s="33">
        <v>41</v>
      </c>
      <c r="F16" s="36">
        <v>5560</v>
      </c>
      <c r="G16" s="33">
        <v>1</v>
      </c>
      <c r="H16" s="29" t="s">
        <v>887</v>
      </c>
      <c r="I16" s="30" t="s">
        <v>923</v>
      </c>
      <c r="J16" s="31">
        <v>1</v>
      </c>
      <c r="K16" s="31">
        <v>1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32"/>
      <c r="W16" s="22" t="str">
        <f t="shared" si="0"/>
        <v>,(12,19,41,5560,1,"11","2024-04-03",1,1)</v>
      </c>
    </row>
    <row r="17" spans="2:23" x14ac:dyDescent="0.4">
      <c r="B17" s="36">
        <v>13</v>
      </c>
      <c r="C17" s="36">
        <v>13</v>
      </c>
      <c r="D17" s="36">
        <v>19</v>
      </c>
      <c r="E17" s="33">
        <v>49</v>
      </c>
      <c r="F17" s="36">
        <v>10140</v>
      </c>
      <c r="G17" s="33">
        <v>1</v>
      </c>
      <c r="H17" s="29" t="s">
        <v>887</v>
      </c>
      <c r="I17" s="30" t="s">
        <v>923</v>
      </c>
      <c r="J17" s="31">
        <v>1</v>
      </c>
      <c r="K17" s="31">
        <v>1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32"/>
      <c r="W17" s="22" t="str">
        <f t="shared" si="0"/>
        <v>,(13,19,49,10140,1,"11","2024-04-03",1,1)</v>
      </c>
    </row>
    <row r="18" spans="2:23" x14ac:dyDescent="0.4">
      <c r="B18" s="36">
        <v>14</v>
      </c>
      <c r="C18" s="36">
        <v>14</v>
      </c>
      <c r="D18" s="36">
        <v>14</v>
      </c>
      <c r="E18" s="33">
        <v>30</v>
      </c>
      <c r="F18" s="36">
        <v>36960</v>
      </c>
      <c r="G18" s="33">
        <v>1</v>
      </c>
      <c r="H18" s="29" t="s">
        <v>887</v>
      </c>
      <c r="I18" s="30" t="s">
        <v>923</v>
      </c>
      <c r="J18" s="31">
        <v>1</v>
      </c>
      <c r="K18" s="31">
        <v>1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32"/>
      <c r="W18" s="22" t="str">
        <f t="shared" si="0"/>
        <v>,(14,14,30,36960,1,"11","2024-04-03",1,1)</v>
      </c>
    </row>
    <row r="19" spans="2:23" x14ac:dyDescent="0.4">
      <c r="B19" s="36">
        <v>15</v>
      </c>
      <c r="C19" s="36">
        <v>15</v>
      </c>
      <c r="D19" s="36">
        <v>4</v>
      </c>
      <c r="E19" s="33">
        <v>27</v>
      </c>
      <c r="F19" s="36">
        <v>570</v>
      </c>
      <c r="G19" s="33">
        <v>16</v>
      </c>
      <c r="H19" s="29" t="s">
        <v>887</v>
      </c>
      <c r="I19" s="30" t="s">
        <v>923</v>
      </c>
      <c r="J19" s="31">
        <v>1</v>
      </c>
      <c r="K19" s="31">
        <v>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32"/>
      <c r="W19" s="22" t="str">
        <f t="shared" si="0"/>
        <v>,(15,4,27,570,16,"11","2024-04-03",1,1)</v>
      </c>
    </row>
    <row r="20" spans="2:23" x14ac:dyDescent="0.4">
      <c r="B20" s="36">
        <v>16</v>
      </c>
      <c r="C20" s="36">
        <v>16</v>
      </c>
      <c r="D20" s="36">
        <v>14</v>
      </c>
      <c r="E20" s="33">
        <v>27</v>
      </c>
      <c r="F20" s="36">
        <v>570</v>
      </c>
      <c r="G20" s="33">
        <v>8</v>
      </c>
      <c r="H20" s="29" t="s">
        <v>887</v>
      </c>
      <c r="I20" s="30" t="s">
        <v>923</v>
      </c>
      <c r="J20" s="31">
        <v>1</v>
      </c>
      <c r="K20" s="31">
        <v>1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32"/>
      <c r="W20" s="22" t="str">
        <f t="shared" si="0"/>
        <v>,(16,14,27,570,8,"11","2024-04-03",1,1)</v>
      </c>
    </row>
    <row r="21" spans="2:23" x14ac:dyDescent="0.4">
      <c r="B21" s="36">
        <v>17</v>
      </c>
      <c r="C21" s="36">
        <v>17</v>
      </c>
      <c r="D21" s="36">
        <v>19</v>
      </c>
      <c r="E21" s="33">
        <v>45</v>
      </c>
      <c r="F21" s="36">
        <v>14090</v>
      </c>
      <c r="G21" s="33">
        <v>1</v>
      </c>
      <c r="H21" s="29" t="s">
        <v>887</v>
      </c>
      <c r="I21" s="30" t="s">
        <v>923</v>
      </c>
      <c r="J21" s="31">
        <v>1</v>
      </c>
      <c r="K21" s="31">
        <v>1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32"/>
      <c r="W21" s="22" t="str">
        <f t="shared" si="0"/>
        <v>,(17,19,45,14090,1,"11","2024-04-03",1,1)</v>
      </c>
    </row>
    <row r="22" spans="2:23" x14ac:dyDescent="0.4">
      <c r="B22" s="36">
        <v>18</v>
      </c>
      <c r="C22" s="36">
        <v>18</v>
      </c>
      <c r="D22" s="36">
        <v>4</v>
      </c>
      <c r="E22" s="33">
        <v>24</v>
      </c>
      <c r="F22" s="36">
        <v>2550</v>
      </c>
      <c r="G22" s="33">
        <v>1</v>
      </c>
      <c r="H22" s="29" t="s">
        <v>887</v>
      </c>
      <c r="I22" s="30" t="s">
        <v>923</v>
      </c>
      <c r="J22" s="31">
        <v>1</v>
      </c>
      <c r="K22" s="31">
        <v>1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32"/>
      <c r="W22" s="22" t="str">
        <f t="shared" si="0"/>
        <v>,(18,4,24,2550,1,"11","2024-04-03",1,1)</v>
      </c>
    </row>
    <row r="23" spans="2:23" x14ac:dyDescent="0.4">
      <c r="B23" s="36">
        <v>19</v>
      </c>
      <c r="C23" s="36">
        <v>19</v>
      </c>
      <c r="D23" s="36">
        <v>4</v>
      </c>
      <c r="E23" s="33">
        <v>25</v>
      </c>
      <c r="F23" s="36">
        <v>2550</v>
      </c>
      <c r="G23" s="33">
        <v>1</v>
      </c>
      <c r="H23" s="29" t="s">
        <v>887</v>
      </c>
      <c r="I23" s="30" t="s">
        <v>923</v>
      </c>
      <c r="J23" s="31">
        <v>1</v>
      </c>
      <c r="K23" s="31">
        <v>1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32"/>
      <c r="W23" s="22" t="str">
        <f t="shared" si="0"/>
        <v>,(19,4,25,2550,1,"11","2024-04-03",1,1)</v>
      </c>
    </row>
    <row r="24" spans="2:23" x14ac:dyDescent="0.4">
      <c r="B24" s="36">
        <v>20</v>
      </c>
      <c r="C24" s="36">
        <v>20</v>
      </c>
      <c r="D24" s="36">
        <v>4</v>
      </c>
      <c r="E24" s="33">
        <v>26</v>
      </c>
      <c r="F24" s="36">
        <v>2550</v>
      </c>
      <c r="G24" s="33">
        <v>1</v>
      </c>
      <c r="H24" s="29" t="s">
        <v>887</v>
      </c>
      <c r="I24" s="30" t="s">
        <v>923</v>
      </c>
      <c r="J24" s="31">
        <v>1</v>
      </c>
      <c r="K24" s="31">
        <v>1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32"/>
      <c r="W24" s="22" t="str">
        <f t="shared" si="0"/>
        <v>,(20,4,26,2550,1,"11","2024-04-03",1,1)</v>
      </c>
    </row>
    <row r="25" spans="2:23" x14ac:dyDescent="0.4">
      <c r="B25" s="36">
        <v>21</v>
      </c>
      <c r="C25" s="36">
        <v>21</v>
      </c>
      <c r="D25" s="36">
        <v>19</v>
      </c>
      <c r="E25" s="33">
        <v>14</v>
      </c>
      <c r="F25" s="36">
        <v>6040</v>
      </c>
      <c r="G25" s="33">
        <v>1</v>
      </c>
      <c r="H25" s="29" t="s">
        <v>887</v>
      </c>
      <c r="I25" s="30" t="s">
        <v>923</v>
      </c>
      <c r="J25" s="31">
        <v>1</v>
      </c>
      <c r="K25" s="31">
        <v>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32"/>
      <c r="W25" s="22" t="str">
        <f t="shared" si="0"/>
        <v>,(21,19,14,6040,1,"11","2024-04-03",1,1)</v>
      </c>
    </row>
    <row r="26" spans="2:23" x14ac:dyDescent="0.4">
      <c r="B26" s="36">
        <v>22</v>
      </c>
      <c r="C26" s="36">
        <v>22</v>
      </c>
      <c r="D26" s="36">
        <v>8</v>
      </c>
      <c r="E26" s="33">
        <v>13</v>
      </c>
      <c r="F26" s="36">
        <v>7130</v>
      </c>
      <c r="G26" s="33">
        <v>1</v>
      </c>
      <c r="H26" s="29" t="s">
        <v>887</v>
      </c>
      <c r="I26" s="30" t="s">
        <v>923</v>
      </c>
      <c r="J26" s="31">
        <v>1</v>
      </c>
      <c r="K26" s="31">
        <v>1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32"/>
      <c r="W26" s="22" t="str">
        <f t="shared" si="0"/>
        <v>,(22,8,13,7130,1,"11","2024-04-03",1,1)</v>
      </c>
    </row>
    <row r="27" spans="2:23" x14ac:dyDescent="0.4">
      <c r="B27" s="36">
        <v>23</v>
      </c>
      <c r="C27" s="36">
        <v>23</v>
      </c>
      <c r="D27" s="36">
        <v>4</v>
      </c>
      <c r="E27" s="33">
        <v>136</v>
      </c>
      <c r="F27" s="36">
        <v>590</v>
      </c>
      <c r="G27" s="33">
        <v>5</v>
      </c>
      <c r="H27" s="29" t="s">
        <v>887</v>
      </c>
      <c r="I27" s="30" t="s">
        <v>923</v>
      </c>
      <c r="J27" s="31">
        <v>1</v>
      </c>
      <c r="K27" s="31">
        <v>1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32"/>
      <c r="W27" s="22" t="str">
        <f t="shared" si="0"/>
        <v>,(23,4,136,590,5,"11","2024-04-03",1,1)</v>
      </c>
    </row>
    <row r="28" spans="2:23" x14ac:dyDescent="0.4">
      <c r="B28" s="36">
        <v>24</v>
      </c>
      <c r="C28" s="36">
        <v>24</v>
      </c>
      <c r="D28" s="36">
        <v>2</v>
      </c>
      <c r="E28" s="33">
        <v>15</v>
      </c>
      <c r="F28" s="36">
        <v>680</v>
      </c>
      <c r="G28" s="33">
        <v>20</v>
      </c>
      <c r="H28" s="29" t="s">
        <v>887</v>
      </c>
      <c r="I28" s="30" t="s">
        <v>923</v>
      </c>
      <c r="J28" s="31">
        <v>1</v>
      </c>
      <c r="K28" s="31">
        <v>1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32"/>
      <c r="W28" s="22" t="str">
        <f t="shared" si="0"/>
        <v>,(24,2,15,680,20,"11","2024-04-03",1,1)</v>
      </c>
    </row>
    <row r="29" spans="2:23" x14ac:dyDescent="0.4">
      <c r="B29" s="36">
        <v>25</v>
      </c>
      <c r="C29" s="36">
        <v>25</v>
      </c>
      <c r="D29" s="36">
        <v>9</v>
      </c>
      <c r="E29" s="33">
        <v>15</v>
      </c>
      <c r="F29" s="36">
        <v>680</v>
      </c>
      <c r="G29" s="33">
        <v>20</v>
      </c>
      <c r="H29" s="29" t="s">
        <v>887</v>
      </c>
      <c r="I29" s="30" t="s">
        <v>923</v>
      </c>
      <c r="J29" s="31">
        <v>1</v>
      </c>
      <c r="K29" s="31">
        <v>1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32"/>
      <c r="W29" s="22" t="str">
        <f t="shared" si="0"/>
        <v>,(25,9,15,680,20,"11","2024-04-03",1,1)</v>
      </c>
    </row>
    <row r="30" spans="2:23" x14ac:dyDescent="0.4">
      <c r="B30" s="36">
        <v>26</v>
      </c>
      <c r="C30" s="36">
        <v>26</v>
      </c>
      <c r="D30" s="36">
        <v>14</v>
      </c>
      <c r="E30" s="33">
        <v>15</v>
      </c>
      <c r="F30" s="36">
        <v>680</v>
      </c>
      <c r="G30" s="33">
        <v>20</v>
      </c>
      <c r="H30" s="29" t="s">
        <v>887</v>
      </c>
      <c r="I30" s="30" t="s">
        <v>923</v>
      </c>
      <c r="J30" s="31">
        <v>1</v>
      </c>
      <c r="K30" s="31">
        <v>1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32"/>
      <c r="W30" s="22" t="str">
        <f t="shared" si="0"/>
        <v>,(26,14,15,680,20,"11","2024-04-03",1,1)</v>
      </c>
    </row>
    <row r="31" spans="2:23" x14ac:dyDescent="0.4">
      <c r="B31" s="36">
        <v>27</v>
      </c>
      <c r="C31" s="36">
        <v>27</v>
      </c>
      <c r="D31" s="36">
        <v>2</v>
      </c>
      <c r="E31" s="33">
        <v>11</v>
      </c>
      <c r="F31" s="36">
        <v>1250</v>
      </c>
      <c r="G31" s="33">
        <v>12</v>
      </c>
      <c r="H31" s="29" t="s">
        <v>887</v>
      </c>
      <c r="I31" s="30" t="s">
        <v>923</v>
      </c>
      <c r="J31" s="31">
        <v>1</v>
      </c>
      <c r="K31" s="31">
        <v>1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2"/>
      <c r="W31" s="22" t="str">
        <f t="shared" si="0"/>
        <v>,(27,2,11,1250,12,"11","2024-04-03",1,1)</v>
      </c>
    </row>
    <row r="32" spans="2:23" x14ac:dyDescent="0.4">
      <c r="B32" s="36">
        <v>28</v>
      </c>
      <c r="C32" s="36">
        <v>28</v>
      </c>
      <c r="D32" s="36">
        <v>4</v>
      </c>
      <c r="E32" s="33">
        <v>144</v>
      </c>
      <c r="F32" s="36">
        <v>620</v>
      </c>
      <c r="G32" s="33">
        <v>5</v>
      </c>
      <c r="H32" s="29" t="s">
        <v>887</v>
      </c>
      <c r="I32" s="30" t="s">
        <v>923</v>
      </c>
      <c r="J32" s="31">
        <v>1</v>
      </c>
      <c r="K32" s="31">
        <v>1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2"/>
      <c r="W32" s="22" t="str">
        <f t="shared" si="0"/>
        <v>,(28,4,144,620,5,"11","2024-04-03",1,1)</v>
      </c>
    </row>
    <row r="33" spans="2:23" x14ac:dyDescent="0.4">
      <c r="B33" s="36">
        <v>29</v>
      </c>
      <c r="C33" s="36">
        <v>29</v>
      </c>
      <c r="D33" s="36">
        <v>12</v>
      </c>
      <c r="E33" s="33">
        <v>40</v>
      </c>
      <c r="F33" s="36">
        <v>8800</v>
      </c>
      <c r="G33" s="33">
        <v>1</v>
      </c>
      <c r="H33" s="29" t="s">
        <v>887</v>
      </c>
      <c r="I33" s="30" t="s">
        <v>930</v>
      </c>
      <c r="J33" s="31">
        <v>1</v>
      </c>
      <c r="K33" s="31">
        <v>1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32"/>
      <c r="W33" s="22" t="str">
        <f t="shared" si="0"/>
        <v>,(29,12,40,8800,1,"11","2024-04-05",1,1)</v>
      </c>
    </row>
    <row r="34" spans="2:23" x14ac:dyDescent="0.4">
      <c r="B34" s="36">
        <v>30</v>
      </c>
      <c r="C34" s="36">
        <v>30</v>
      </c>
      <c r="D34" s="36">
        <v>8</v>
      </c>
      <c r="E34" s="33">
        <v>37</v>
      </c>
      <c r="F34" s="36">
        <v>480</v>
      </c>
      <c r="G34" s="33">
        <v>10</v>
      </c>
      <c r="H34" s="29" t="s">
        <v>887</v>
      </c>
      <c r="I34" s="30" t="s">
        <v>930</v>
      </c>
      <c r="J34" s="31">
        <v>1</v>
      </c>
      <c r="K34" s="31">
        <v>1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32"/>
      <c r="W34" s="22" t="str">
        <f t="shared" si="0"/>
        <v>,(30,8,37,480,10,"11","2024-04-05",1,1)</v>
      </c>
    </row>
    <row r="35" spans="2:23" x14ac:dyDescent="0.4">
      <c r="B35" s="36">
        <v>31</v>
      </c>
      <c r="C35" s="36">
        <v>31</v>
      </c>
      <c r="D35" s="36">
        <v>12</v>
      </c>
      <c r="E35" s="33">
        <v>44</v>
      </c>
      <c r="F35" s="36">
        <v>10080</v>
      </c>
      <c r="G35" s="33">
        <v>1</v>
      </c>
      <c r="H35" s="29" t="s">
        <v>887</v>
      </c>
      <c r="I35" s="30" t="s">
        <v>930</v>
      </c>
      <c r="J35" s="31">
        <v>1</v>
      </c>
      <c r="K35" s="31">
        <v>1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32"/>
      <c r="W35" s="22" t="str">
        <f t="shared" si="0"/>
        <v>,(31,12,44,10080,1,"11","2024-04-05",1,1)</v>
      </c>
    </row>
    <row r="36" spans="2:23" x14ac:dyDescent="0.4">
      <c r="B36" s="36">
        <v>32</v>
      </c>
      <c r="C36" s="36">
        <v>32</v>
      </c>
      <c r="D36" s="36">
        <v>8</v>
      </c>
      <c r="E36" s="33">
        <v>38</v>
      </c>
      <c r="F36" s="36">
        <v>700</v>
      </c>
      <c r="G36" s="33">
        <v>10</v>
      </c>
      <c r="H36" s="29" t="s">
        <v>887</v>
      </c>
      <c r="I36" s="30" t="s">
        <v>930</v>
      </c>
      <c r="J36" s="31">
        <v>1</v>
      </c>
      <c r="K36" s="31">
        <v>1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32"/>
      <c r="W36" s="22" t="str">
        <f t="shared" si="0"/>
        <v>,(32,8,38,700,10,"11","2024-04-05",1,1)</v>
      </c>
    </row>
    <row r="37" spans="2:23" x14ac:dyDescent="0.4">
      <c r="B37" s="36">
        <v>33</v>
      </c>
      <c r="C37" s="36">
        <v>33</v>
      </c>
      <c r="D37" s="36">
        <v>4</v>
      </c>
      <c r="E37" s="33">
        <v>27</v>
      </c>
      <c r="F37" s="36">
        <v>570</v>
      </c>
      <c r="G37" s="33">
        <v>2</v>
      </c>
      <c r="H37" s="29" t="s">
        <v>887</v>
      </c>
      <c r="I37" s="30" t="s">
        <v>930</v>
      </c>
      <c r="J37" s="31">
        <v>1</v>
      </c>
      <c r="K37" s="31">
        <v>1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32"/>
      <c r="W37" s="22" t="str">
        <f t="shared" ref="W37:W68" si="1">_xlfn.CONCAT(IF(B37=1,"",","),"(",_xlfn.TEXTJOIN(",",TRUE,C37:V37),")")</f>
        <v>,(33,4,27,570,2,"11","2024-04-05",1,1)</v>
      </c>
    </row>
    <row r="38" spans="2:23" x14ac:dyDescent="0.4">
      <c r="B38" s="36">
        <v>34</v>
      </c>
      <c r="C38" s="36">
        <v>34</v>
      </c>
      <c r="D38" s="36">
        <v>12</v>
      </c>
      <c r="E38" s="33">
        <v>45</v>
      </c>
      <c r="F38" s="36">
        <v>14090</v>
      </c>
      <c r="G38" s="33">
        <v>1</v>
      </c>
      <c r="H38" s="29" t="s">
        <v>887</v>
      </c>
      <c r="I38" s="30" t="s">
        <v>930</v>
      </c>
      <c r="J38" s="31">
        <v>1</v>
      </c>
      <c r="K38" s="31">
        <v>1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32"/>
      <c r="W38" s="22" t="str">
        <f t="shared" si="1"/>
        <v>,(34,12,45,14090,1,"11","2024-04-05",1,1)</v>
      </c>
    </row>
    <row r="39" spans="2:23" x14ac:dyDescent="0.4">
      <c r="B39" s="36">
        <v>35</v>
      </c>
      <c r="C39" s="36">
        <v>35</v>
      </c>
      <c r="D39" s="36">
        <v>12</v>
      </c>
      <c r="E39" s="33">
        <v>43</v>
      </c>
      <c r="F39" s="36">
        <v>7900</v>
      </c>
      <c r="G39" s="33">
        <v>1</v>
      </c>
      <c r="H39" s="29" t="s">
        <v>887</v>
      </c>
      <c r="I39" s="30" t="s">
        <v>930</v>
      </c>
      <c r="J39" s="31">
        <v>1</v>
      </c>
      <c r="K39" s="31">
        <v>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32"/>
      <c r="W39" s="22" t="str">
        <f t="shared" si="1"/>
        <v>,(35,12,43,7900,1,"11","2024-04-05",1,1)</v>
      </c>
    </row>
    <row r="40" spans="2:23" x14ac:dyDescent="0.4">
      <c r="B40" s="36">
        <v>36</v>
      </c>
      <c r="C40" s="36">
        <v>36</v>
      </c>
      <c r="D40" s="36">
        <v>12</v>
      </c>
      <c r="E40" s="33">
        <v>28</v>
      </c>
      <c r="F40" s="36">
        <v>960</v>
      </c>
      <c r="G40" s="33">
        <v>8</v>
      </c>
      <c r="H40" s="29" t="s">
        <v>887</v>
      </c>
      <c r="I40" s="30" t="s">
        <v>930</v>
      </c>
      <c r="J40" s="31">
        <v>1</v>
      </c>
      <c r="K40" s="31">
        <v>1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32"/>
      <c r="W40" s="22" t="str">
        <f t="shared" si="1"/>
        <v>,(36,12,28,960,8,"11","2024-04-05",1,1)</v>
      </c>
    </row>
    <row r="41" spans="2:23" x14ac:dyDescent="0.4">
      <c r="B41" s="36">
        <v>37</v>
      </c>
      <c r="C41" s="36">
        <v>37</v>
      </c>
      <c r="D41" s="36">
        <v>18</v>
      </c>
      <c r="E41" s="33">
        <v>28</v>
      </c>
      <c r="F41" s="36">
        <v>960</v>
      </c>
      <c r="G41" s="33">
        <v>8</v>
      </c>
      <c r="H41" s="29" t="s">
        <v>887</v>
      </c>
      <c r="I41" s="30" t="s">
        <v>930</v>
      </c>
      <c r="J41" s="31">
        <v>1</v>
      </c>
      <c r="K41" s="31">
        <v>1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32"/>
      <c r="W41" s="22" t="str">
        <f t="shared" si="1"/>
        <v>,(37,18,28,960,8,"11","2024-04-05",1,1)</v>
      </c>
    </row>
    <row r="42" spans="2:23" x14ac:dyDescent="0.4">
      <c r="B42" s="36">
        <v>38</v>
      </c>
      <c r="C42" s="36">
        <v>38</v>
      </c>
      <c r="D42" s="36">
        <v>24</v>
      </c>
      <c r="E42" s="33">
        <v>28</v>
      </c>
      <c r="F42" s="36">
        <v>960</v>
      </c>
      <c r="G42" s="33">
        <v>8</v>
      </c>
      <c r="H42" s="29" t="s">
        <v>887</v>
      </c>
      <c r="I42" s="30" t="s">
        <v>930</v>
      </c>
      <c r="J42" s="31">
        <v>1</v>
      </c>
      <c r="K42" s="31">
        <v>1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32"/>
      <c r="W42" s="22" t="str">
        <f t="shared" si="1"/>
        <v>,(38,24,28,960,8,"11","2024-04-05",1,1)</v>
      </c>
    </row>
    <row r="43" spans="2:23" x14ac:dyDescent="0.4">
      <c r="B43" s="36">
        <v>39</v>
      </c>
      <c r="C43" s="36">
        <v>39</v>
      </c>
      <c r="D43" s="36">
        <v>4</v>
      </c>
      <c r="E43" s="33">
        <v>1</v>
      </c>
      <c r="F43" s="36">
        <v>2970</v>
      </c>
      <c r="G43" s="33">
        <v>5</v>
      </c>
      <c r="H43" s="29" t="s">
        <v>887</v>
      </c>
      <c r="I43" s="30" t="s">
        <v>930</v>
      </c>
      <c r="J43" s="31">
        <v>1</v>
      </c>
      <c r="K43" s="31">
        <v>1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32"/>
      <c r="W43" s="22" t="str">
        <f t="shared" si="1"/>
        <v>,(39,4,1,2970,5,"11","2024-04-05",1,1)</v>
      </c>
    </row>
    <row r="44" spans="2:23" x14ac:dyDescent="0.4">
      <c r="B44" s="36">
        <v>40</v>
      </c>
      <c r="C44" s="36">
        <v>40</v>
      </c>
      <c r="D44" s="36">
        <v>17</v>
      </c>
      <c r="E44" s="33">
        <v>1</v>
      </c>
      <c r="F44" s="36">
        <v>2970</v>
      </c>
      <c r="G44" s="33">
        <v>4</v>
      </c>
      <c r="H44" s="29" t="s">
        <v>887</v>
      </c>
      <c r="I44" s="30" t="s">
        <v>930</v>
      </c>
      <c r="J44" s="31">
        <v>1</v>
      </c>
      <c r="K44" s="31">
        <v>1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32"/>
      <c r="W44" s="22" t="str">
        <f t="shared" si="1"/>
        <v>,(40,17,1,2970,4,"11","2024-04-05",1,1)</v>
      </c>
    </row>
    <row r="45" spans="2:23" x14ac:dyDescent="0.4">
      <c r="B45" s="36">
        <v>41</v>
      </c>
      <c r="C45" s="36">
        <v>41</v>
      </c>
      <c r="D45" s="36">
        <v>4</v>
      </c>
      <c r="E45" s="33">
        <v>15</v>
      </c>
      <c r="F45" s="36">
        <v>680</v>
      </c>
      <c r="G45" s="33">
        <v>20</v>
      </c>
      <c r="H45" s="29" t="s">
        <v>887</v>
      </c>
      <c r="I45" s="30" t="s">
        <v>930</v>
      </c>
      <c r="J45" s="31">
        <v>1</v>
      </c>
      <c r="K45" s="31">
        <v>1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32"/>
      <c r="W45" s="22" t="str">
        <f t="shared" si="1"/>
        <v>,(41,4,15,680,20,"11","2024-04-05",1,1)</v>
      </c>
    </row>
    <row r="46" spans="2:23" x14ac:dyDescent="0.4">
      <c r="B46" s="36">
        <v>42</v>
      </c>
      <c r="C46" s="36">
        <v>42</v>
      </c>
      <c r="D46" s="36">
        <v>8</v>
      </c>
      <c r="E46" s="33">
        <v>15</v>
      </c>
      <c r="F46" s="36">
        <v>680</v>
      </c>
      <c r="G46" s="33">
        <v>20</v>
      </c>
      <c r="H46" s="29" t="s">
        <v>887</v>
      </c>
      <c r="I46" s="30" t="s">
        <v>930</v>
      </c>
      <c r="J46" s="31">
        <v>1</v>
      </c>
      <c r="K46" s="31">
        <v>1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32"/>
      <c r="W46" s="22" t="str">
        <f t="shared" si="1"/>
        <v>,(42,8,15,680,20,"11","2024-04-05",1,1)</v>
      </c>
    </row>
    <row r="47" spans="2:23" x14ac:dyDescent="0.4">
      <c r="B47" s="36">
        <v>43</v>
      </c>
      <c r="C47" s="36">
        <v>43</v>
      </c>
      <c r="D47" s="36">
        <v>14</v>
      </c>
      <c r="E47" s="33">
        <v>9</v>
      </c>
      <c r="F47" s="36">
        <v>1400</v>
      </c>
      <c r="G47" s="33">
        <v>12</v>
      </c>
      <c r="H47" s="29" t="s">
        <v>887</v>
      </c>
      <c r="I47" s="30" t="s">
        <v>930</v>
      </c>
      <c r="J47" s="31">
        <v>1</v>
      </c>
      <c r="K47" s="31">
        <v>1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32"/>
      <c r="W47" s="22" t="str">
        <f t="shared" si="1"/>
        <v>,(43,14,9,1400,12,"11","2024-04-05",1,1)</v>
      </c>
    </row>
    <row r="48" spans="2:23" x14ac:dyDescent="0.4">
      <c r="B48" s="36">
        <v>44</v>
      </c>
      <c r="C48" s="36">
        <v>44</v>
      </c>
      <c r="D48" s="36">
        <v>20</v>
      </c>
      <c r="E48" s="33">
        <v>172</v>
      </c>
      <c r="F48" s="36">
        <v>9240</v>
      </c>
      <c r="G48" s="33">
        <v>6</v>
      </c>
      <c r="H48" s="29" t="s">
        <v>887</v>
      </c>
      <c r="I48" s="30" t="s">
        <v>930</v>
      </c>
      <c r="J48" s="31">
        <v>1</v>
      </c>
      <c r="K48" s="31">
        <v>1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32"/>
      <c r="W48" s="22" t="str">
        <f t="shared" si="1"/>
        <v>,(44,20,172,9240,6,"11","2024-04-05",1,1)</v>
      </c>
    </row>
    <row r="49" spans="2:23" x14ac:dyDescent="0.4">
      <c r="B49" s="36">
        <v>45</v>
      </c>
      <c r="C49" s="36">
        <v>45</v>
      </c>
      <c r="D49" s="36">
        <v>14</v>
      </c>
      <c r="E49" s="33">
        <v>40</v>
      </c>
      <c r="F49" s="36">
        <v>8800</v>
      </c>
      <c r="G49" s="33">
        <v>1</v>
      </c>
      <c r="H49" s="29" t="s">
        <v>887</v>
      </c>
      <c r="I49" s="30" t="s">
        <v>929</v>
      </c>
      <c r="J49" s="31">
        <v>1</v>
      </c>
      <c r="K49" s="31">
        <v>1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32"/>
      <c r="W49" s="22" t="str">
        <f t="shared" si="1"/>
        <v>,(45,14,40,8800,1,"11","2024-04-19",1,1)</v>
      </c>
    </row>
    <row r="50" spans="2:23" x14ac:dyDescent="0.4">
      <c r="B50" s="36">
        <v>46</v>
      </c>
      <c r="C50" s="36">
        <v>46</v>
      </c>
      <c r="D50" s="36">
        <v>14</v>
      </c>
      <c r="E50" s="33">
        <v>47</v>
      </c>
      <c r="F50" s="36">
        <v>4320</v>
      </c>
      <c r="G50" s="33">
        <v>1</v>
      </c>
      <c r="H50" s="29" t="s">
        <v>887</v>
      </c>
      <c r="I50" s="30" t="s">
        <v>929</v>
      </c>
      <c r="J50" s="31">
        <v>1</v>
      </c>
      <c r="K50" s="31">
        <v>1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32"/>
      <c r="W50" s="22" t="str">
        <f t="shared" si="1"/>
        <v>,(46,14,47,4320,1,"11","2024-04-19",1,1)</v>
      </c>
    </row>
    <row r="51" spans="2:23" x14ac:dyDescent="0.4">
      <c r="B51" s="36">
        <v>47</v>
      </c>
      <c r="C51" s="36">
        <v>47</v>
      </c>
      <c r="D51" s="36">
        <v>14</v>
      </c>
      <c r="E51" s="33">
        <v>39</v>
      </c>
      <c r="F51" s="36">
        <v>4750</v>
      </c>
      <c r="G51" s="33">
        <v>1</v>
      </c>
      <c r="H51" s="29" t="s">
        <v>887</v>
      </c>
      <c r="I51" s="30" t="s">
        <v>929</v>
      </c>
      <c r="J51" s="31">
        <v>1</v>
      </c>
      <c r="K51" s="31">
        <v>1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32"/>
      <c r="W51" s="22" t="str">
        <f t="shared" si="1"/>
        <v>,(47,14,39,4750,1,"11","2024-04-19",1,1)</v>
      </c>
    </row>
    <row r="52" spans="2:23" x14ac:dyDescent="0.4">
      <c r="B52" s="36">
        <v>48</v>
      </c>
      <c r="C52" s="36">
        <v>48</v>
      </c>
      <c r="D52" s="36">
        <v>14</v>
      </c>
      <c r="E52" s="33">
        <v>38</v>
      </c>
      <c r="F52" s="36">
        <v>700</v>
      </c>
      <c r="G52" s="33">
        <v>10</v>
      </c>
      <c r="H52" s="29" t="s">
        <v>887</v>
      </c>
      <c r="I52" s="30" t="s">
        <v>929</v>
      </c>
      <c r="J52" s="31">
        <v>1</v>
      </c>
      <c r="K52" s="31">
        <v>1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32"/>
      <c r="W52" s="22" t="str">
        <f t="shared" si="1"/>
        <v>,(48,14,38,700,10,"11","2024-04-19",1,1)</v>
      </c>
    </row>
    <row r="53" spans="2:23" x14ac:dyDescent="0.4">
      <c r="B53" s="36">
        <v>49</v>
      </c>
      <c r="C53" s="36">
        <v>49</v>
      </c>
      <c r="D53" s="36">
        <v>14</v>
      </c>
      <c r="E53" s="33">
        <v>12</v>
      </c>
      <c r="F53" s="36">
        <v>450</v>
      </c>
      <c r="G53" s="33">
        <v>15</v>
      </c>
      <c r="H53" s="29" t="s">
        <v>887</v>
      </c>
      <c r="I53" s="30" t="s">
        <v>929</v>
      </c>
      <c r="J53" s="31">
        <v>1</v>
      </c>
      <c r="K53" s="31">
        <v>1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32"/>
      <c r="W53" s="22" t="str">
        <f t="shared" si="1"/>
        <v>,(49,14,12,450,15,"11","2024-04-19",1,1)</v>
      </c>
    </row>
    <row r="54" spans="2:23" x14ac:dyDescent="0.4">
      <c r="B54" s="33">
        <v>50</v>
      </c>
      <c r="C54" s="33">
        <v>50</v>
      </c>
      <c r="D54" s="33">
        <v>14</v>
      </c>
      <c r="E54" s="33">
        <v>15</v>
      </c>
      <c r="F54" s="33">
        <v>680</v>
      </c>
      <c r="G54" s="33">
        <v>20</v>
      </c>
      <c r="H54" s="29" t="s">
        <v>887</v>
      </c>
      <c r="I54" s="33" t="s">
        <v>929</v>
      </c>
      <c r="J54" s="31">
        <v>1</v>
      </c>
      <c r="K54" s="31">
        <v>1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32"/>
      <c r="W54" s="22" t="str">
        <f t="shared" si="1"/>
        <v>,(50,14,15,680,20,"11","2024-04-19",1,1)</v>
      </c>
    </row>
    <row r="55" spans="2:23" x14ac:dyDescent="0.4">
      <c r="B55" s="33">
        <v>51</v>
      </c>
      <c r="C55" s="33">
        <v>51</v>
      </c>
      <c r="D55" s="33">
        <v>4</v>
      </c>
      <c r="E55" s="33">
        <v>10</v>
      </c>
      <c r="F55" s="33">
        <v>1250</v>
      </c>
      <c r="G55" s="33">
        <v>12</v>
      </c>
      <c r="H55" s="29" t="s">
        <v>887</v>
      </c>
      <c r="I55" s="33" t="s">
        <v>929</v>
      </c>
      <c r="J55" s="31">
        <v>1</v>
      </c>
      <c r="K55" s="31">
        <v>1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32"/>
      <c r="W55" s="22" t="str">
        <f t="shared" si="1"/>
        <v>,(51,4,10,1250,12,"11","2024-04-19",1,1)</v>
      </c>
    </row>
    <row r="56" spans="2:23" x14ac:dyDescent="0.4">
      <c r="B56" s="33">
        <v>52</v>
      </c>
      <c r="C56" s="33">
        <v>52</v>
      </c>
      <c r="D56" s="33">
        <v>4</v>
      </c>
      <c r="E56" s="33">
        <v>8</v>
      </c>
      <c r="F56" s="33">
        <v>1250</v>
      </c>
      <c r="G56" s="33">
        <v>12</v>
      </c>
      <c r="H56" s="29" t="s">
        <v>887</v>
      </c>
      <c r="I56" s="33" t="s">
        <v>929</v>
      </c>
      <c r="J56" s="31">
        <v>1</v>
      </c>
      <c r="K56" s="31">
        <v>1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32"/>
      <c r="W56" s="22" t="str">
        <f t="shared" si="1"/>
        <v>,(52,4,8,1250,12,"11","2024-04-19",1,1)</v>
      </c>
    </row>
    <row r="57" spans="2:23" x14ac:dyDescent="0.4">
      <c r="B57" s="33">
        <v>53</v>
      </c>
      <c r="C57" s="33">
        <v>53</v>
      </c>
      <c r="D57" s="33">
        <v>4</v>
      </c>
      <c r="E57" s="33">
        <v>11</v>
      </c>
      <c r="F57" s="33">
        <v>1250</v>
      </c>
      <c r="G57" s="33">
        <v>12</v>
      </c>
      <c r="H57" s="29" t="s">
        <v>887</v>
      </c>
      <c r="I57" s="33" t="s">
        <v>929</v>
      </c>
      <c r="J57" s="31">
        <v>1</v>
      </c>
      <c r="K57" s="31">
        <v>1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32"/>
      <c r="W57" s="22" t="str">
        <f t="shared" si="1"/>
        <v>,(53,4,11,1250,12,"11","2024-04-19",1,1)</v>
      </c>
    </row>
    <row r="58" spans="2:23" x14ac:dyDescent="0.4">
      <c r="B58" s="33">
        <v>54</v>
      </c>
      <c r="C58" s="33">
        <v>54</v>
      </c>
      <c r="D58" s="33">
        <v>23</v>
      </c>
      <c r="E58" s="33">
        <v>18</v>
      </c>
      <c r="F58" s="33">
        <v>620</v>
      </c>
      <c r="G58" s="33">
        <v>72</v>
      </c>
      <c r="H58" s="29" t="s">
        <v>887</v>
      </c>
      <c r="I58" s="33" t="s">
        <v>929</v>
      </c>
      <c r="J58" s="31">
        <v>1</v>
      </c>
      <c r="K58" s="31">
        <v>1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32"/>
      <c r="W58" s="22" t="str">
        <f t="shared" si="1"/>
        <v>,(54,23,18,620,72,"11","2024-04-19",1,1)</v>
      </c>
    </row>
    <row r="59" spans="2:23" x14ac:dyDescent="0.4">
      <c r="B59" s="33">
        <v>55</v>
      </c>
      <c r="C59" s="33">
        <v>55</v>
      </c>
      <c r="D59" s="33">
        <v>12</v>
      </c>
      <c r="E59" s="33">
        <v>147</v>
      </c>
      <c r="F59" s="33">
        <v>1960</v>
      </c>
      <c r="G59" s="33">
        <v>1</v>
      </c>
      <c r="H59" s="29" t="s">
        <v>887</v>
      </c>
      <c r="I59" s="33" t="s">
        <v>928</v>
      </c>
      <c r="J59" s="31">
        <v>1</v>
      </c>
      <c r="K59" s="31">
        <v>1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32"/>
      <c r="W59" s="22" t="str">
        <f t="shared" si="1"/>
        <v>,(55,12,147,1960,1,"11","2024-05-10",1,1)</v>
      </c>
    </row>
    <row r="60" spans="2:23" x14ac:dyDescent="0.4">
      <c r="B60" s="33">
        <v>56</v>
      </c>
      <c r="C60" s="33">
        <v>56</v>
      </c>
      <c r="D60" s="33">
        <v>12</v>
      </c>
      <c r="E60" s="33">
        <v>152</v>
      </c>
      <c r="F60" s="33">
        <v>1300</v>
      </c>
      <c r="G60" s="33">
        <v>1</v>
      </c>
      <c r="H60" s="29" t="s">
        <v>887</v>
      </c>
      <c r="I60" s="33" t="s">
        <v>928</v>
      </c>
      <c r="J60" s="31">
        <v>1</v>
      </c>
      <c r="K60" s="31">
        <v>1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32"/>
      <c r="W60" s="22" t="str">
        <f t="shared" si="1"/>
        <v>,(56,12,152,1300,1,"11","2024-05-10",1,1)</v>
      </c>
    </row>
    <row r="61" spans="2:23" x14ac:dyDescent="0.4">
      <c r="B61" s="33">
        <v>57</v>
      </c>
      <c r="C61" s="33">
        <v>57</v>
      </c>
      <c r="D61" s="33">
        <v>21</v>
      </c>
      <c r="E61" s="33">
        <v>47</v>
      </c>
      <c r="F61" s="33">
        <v>4320</v>
      </c>
      <c r="G61" s="33">
        <v>3</v>
      </c>
      <c r="H61" s="29" t="s">
        <v>887</v>
      </c>
      <c r="I61" s="33" t="s">
        <v>928</v>
      </c>
      <c r="J61" s="31">
        <v>1</v>
      </c>
      <c r="K61" s="31">
        <v>1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32"/>
      <c r="W61" s="22" t="str">
        <f t="shared" si="1"/>
        <v>,(57,21,47,4320,3,"11","2024-05-10",1,1)</v>
      </c>
    </row>
    <row r="62" spans="2:23" x14ac:dyDescent="0.4">
      <c r="B62" s="33">
        <v>58</v>
      </c>
      <c r="C62" s="33">
        <v>58</v>
      </c>
      <c r="D62" s="33">
        <v>13</v>
      </c>
      <c r="E62" s="33">
        <v>106</v>
      </c>
      <c r="F62" s="33">
        <v>6770</v>
      </c>
      <c r="G62" s="33">
        <v>2</v>
      </c>
      <c r="H62" s="29" t="s">
        <v>887</v>
      </c>
      <c r="I62" s="33" t="s">
        <v>928</v>
      </c>
      <c r="J62" s="31">
        <v>1</v>
      </c>
      <c r="K62" s="31">
        <v>1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32"/>
      <c r="W62" s="22" t="str">
        <f t="shared" si="1"/>
        <v>,(58,13,106,6770,2,"11","2024-05-10",1,1)</v>
      </c>
    </row>
    <row r="63" spans="2:23" x14ac:dyDescent="0.4">
      <c r="B63" s="33">
        <v>59</v>
      </c>
      <c r="C63" s="33">
        <v>59</v>
      </c>
      <c r="D63" s="33">
        <v>21</v>
      </c>
      <c r="E63" s="33">
        <v>52</v>
      </c>
      <c r="F63" s="33">
        <v>11800</v>
      </c>
      <c r="G63" s="33">
        <v>2</v>
      </c>
      <c r="H63" s="29" t="s">
        <v>887</v>
      </c>
      <c r="I63" s="33" t="s">
        <v>928</v>
      </c>
      <c r="J63" s="31">
        <v>1</v>
      </c>
      <c r="K63" s="31">
        <v>1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32"/>
      <c r="W63" s="22" t="str">
        <f t="shared" si="1"/>
        <v>,(59,21,52,11800,2,"11","2024-05-10",1,1)</v>
      </c>
    </row>
    <row r="64" spans="2:23" x14ac:dyDescent="0.4">
      <c r="B64" s="33">
        <v>60</v>
      </c>
      <c r="C64" s="33">
        <v>60</v>
      </c>
      <c r="D64" s="33">
        <v>13</v>
      </c>
      <c r="E64" s="33">
        <v>101</v>
      </c>
      <c r="F64" s="33">
        <v>5700</v>
      </c>
      <c r="G64" s="33">
        <v>2</v>
      </c>
      <c r="H64" s="29" t="s">
        <v>887</v>
      </c>
      <c r="I64" s="33" t="s">
        <v>928</v>
      </c>
      <c r="J64" s="31">
        <v>1</v>
      </c>
      <c r="K64" s="31">
        <v>1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32"/>
      <c r="W64" s="22" t="str">
        <f t="shared" si="1"/>
        <v>,(60,13,101,5700,2,"11","2024-05-10",1,1)</v>
      </c>
    </row>
    <row r="65" spans="2:23" x14ac:dyDescent="0.4">
      <c r="B65" s="33">
        <v>61</v>
      </c>
      <c r="C65" s="33">
        <v>61</v>
      </c>
      <c r="D65" s="33">
        <v>21</v>
      </c>
      <c r="E65" s="33">
        <v>155</v>
      </c>
      <c r="F65" s="33">
        <v>4020</v>
      </c>
      <c r="G65" s="33">
        <v>2</v>
      </c>
      <c r="H65" s="29" t="s">
        <v>887</v>
      </c>
      <c r="I65" s="33" t="s">
        <v>928</v>
      </c>
      <c r="J65" s="31">
        <v>1</v>
      </c>
      <c r="K65" s="31">
        <v>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32"/>
      <c r="W65" s="22" t="str">
        <f t="shared" si="1"/>
        <v>,(61,21,155,4020,2,"11","2024-05-10",1,1)</v>
      </c>
    </row>
    <row r="66" spans="2:23" x14ac:dyDescent="0.4">
      <c r="B66" s="33">
        <v>62</v>
      </c>
      <c r="C66" s="33">
        <v>62</v>
      </c>
      <c r="D66" s="33">
        <v>12</v>
      </c>
      <c r="E66" s="33">
        <v>157</v>
      </c>
      <c r="F66" s="33">
        <v>2370</v>
      </c>
      <c r="G66" s="33">
        <v>1</v>
      </c>
      <c r="H66" s="29" t="s">
        <v>887</v>
      </c>
      <c r="I66" s="33" t="s">
        <v>928</v>
      </c>
      <c r="J66" s="31">
        <v>1</v>
      </c>
      <c r="K66" s="31">
        <v>1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32"/>
      <c r="W66" s="22" t="str">
        <f t="shared" si="1"/>
        <v>,(62,12,157,2370,1,"11","2024-05-10",1,1)</v>
      </c>
    </row>
    <row r="67" spans="2:23" x14ac:dyDescent="0.4">
      <c r="B67" s="33">
        <v>63</v>
      </c>
      <c r="C67" s="33">
        <v>63</v>
      </c>
      <c r="D67" s="33">
        <v>13</v>
      </c>
      <c r="E67" s="33">
        <v>53</v>
      </c>
      <c r="F67" s="33">
        <v>8000</v>
      </c>
      <c r="G67" s="33">
        <v>2</v>
      </c>
      <c r="H67" s="29" t="s">
        <v>887</v>
      </c>
      <c r="I67" s="33" t="s">
        <v>928</v>
      </c>
      <c r="J67" s="31">
        <v>1</v>
      </c>
      <c r="K67" s="31">
        <v>1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32"/>
      <c r="W67" s="22" t="str">
        <f t="shared" si="1"/>
        <v>,(63,13,53,8000,2,"11","2024-05-10",1,1)</v>
      </c>
    </row>
    <row r="68" spans="2:23" x14ac:dyDescent="0.4">
      <c r="B68" s="33">
        <v>64</v>
      </c>
      <c r="C68" s="33">
        <v>64</v>
      </c>
      <c r="D68" s="33">
        <v>21</v>
      </c>
      <c r="E68" s="33">
        <v>38</v>
      </c>
      <c r="F68" s="33">
        <v>700</v>
      </c>
      <c r="G68" s="33">
        <v>30</v>
      </c>
      <c r="H68" s="29" t="s">
        <v>887</v>
      </c>
      <c r="I68" s="33" t="s">
        <v>928</v>
      </c>
      <c r="J68" s="31">
        <v>1</v>
      </c>
      <c r="K68" s="31">
        <v>1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32"/>
      <c r="W68" s="22" t="str">
        <f t="shared" si="1"/>
        <v>,(64,21,38,700,30,"11","2024-05-10",1,1)</v>
      </c>
    </row>
    <row r="69" spans="2:23" x14ac:dyDescent="0.4">
      <c r="B69" s="33">
        <v>65</v>
      </c>
      <c r="C69" s="33">
        <v>65</v>
      </c>
      <c r="D69" s="33">
        <v>18</v>
      </c>
      <c r="E69" s="33">
        <v>118</v>
      </c>
      <c r="F69" s="33">
        <v>4350</v>
      </c>
      <c r="G69" s="33">
        <v>2</v>
      </c>
      <c r="H69" s="29" t="s">
        <v>887</v>
      </c>
      <c r="I69" s="33" t="s">
        <v>928</v>
      </c>
      <c r="J69" s="31">
        <v>1</v>
      </c>
      <c r="K69" s="31">
        <v>1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32"/>
      <c r="W69" s="22" t="str">
        <f t="shared" ref="W69:W100" si="2">_xlfn.CONCAT(IF(B69=1,"",","),"(",_xlfn.TEXTJOIN(",",TRUE,C69:V69),")")</f>
        <v>,(65,18,118,4350,2,"11","2024-05-10",1,1)</v>
      </c>
    </row>
    <row r="70" spans="2:23" x14ac:dyDescent="0.4">
      <c r="B70" s="33">
        <v>66</v>
      </c>
      <c r="C70" s="33">
        <v>66</v>
      </c>
      <c r="D70" s="33">
        <v>11</v>
      </c>
      <c r="E70" s="33">
        <v>27</v>
      </c>
      <c r="F70" s="33">
        <v>570</v>
      </c>
      <c r="G70" s="33">
        <v>5</v>
      </c>
      <c r="H70" s="29" t="s">
        <v>887</v>
      </c>
      <c r="I70" s="33" t="s">
        <v>928</v>
      </c>
      <c r="J70" s="31">
        <v>1</v>
      </c>
      <c r="K70" s="31">
        <v>1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32"/>
      <c r="W70" s="22" t="str">
        <f t="shared" si="2"/>
        <v>,(66,11,27,570,5,"11","2024-05-10",1,1)</v>
      </c>
    </row>
    <row r="71" spans="2:23" x14ac:dyDescent="0.4">
      <c r="B71" s="33">
        <v>67</v>
      </c>
      <c r="C71" s="33">
        <v>67</v>
      </c>
      <c r="D71" s="33">
        <v>11</v>
      </c>
      <c r="E71" s="33">
        <v>119</v>
      </c>
      <c r="F71" s="33">
        <v>670</v>
      </c>
      <c r="G71" s="33">
        <v>4</v>
      </c>
      <c r="H71" s="29" t="s">
        <v>887</v>
      </c>
      <c r="I71" s="33" t="s">
        <v>928</v>
      </c>
      <c r="J71" s="31">
        <v>1</v>
      </c>
      <c r="K71" s="31">
        <v>1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32"/>
      <c r="W71" s="22" t="str">
        <f t="shared" si="2"/>
        <v>,(67,11,119,670,4,"11","2024-05-10",1,1)</v>
      </c>
    </row>
    <row r="72" spans="2:23" x14ac:dyDescent="0.4">
      <c r="B72" s="33">
        <v>68</v>
      </c>
      <c r="C72" s="33">
        <v>68</v>
      </c>
      <c r="D72" s="33">
        <v>11</v>
      </c>
      <c r="E72" s="33">
        <v>121</v>
      </c>
      <c r="F72" s="33">
        <v>580</v>
      </c>
      <c r="G72" s="33">
        <v>4</v>
      </c>
      <c r="H72" s="29" t="s">
        <v>887</v>
      </c>
      <c r="I72" s="33" t="s">
        <v>928</v>
      </c>
      <c r="J72" s="31">
        <v>1</v>
      </c>
      <c r="K72" s="31">
        <v>1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32"/>
      <c r="W72" s="22" t="str">
        <f t="shared" si="2"/>
        <v>,(68,11,121,580,4,"11","2024-05-10",1,1)</v>
      </c>
    </row>
    <row r="73" spans="2:23" x14ac:dyDescent="0.4">
      <c r="B73" s="33">
        <v>69</v>
      </c>
      <c r="C73" s="33">
        <v>69</v>
      </c>
      <c r="D73" s="33">
        <v>10</v>
      </c>
      <c r="E73" s="33">
        <v>124</v>
      </c>
      <c r="F73" s="33">
        <v>630</v>
      </c>
      <c r="G73" s="33">
        <v>5</v>
      </c>
      <c r="H73" s="29" t="s">
        <v>887</v>
      </c>
      <c r="I73" s="33" t="s">
        <v>928</v>
      </c>
      <c r="J73" s="31">
        <v>1</v>
      </c>
      <c r="K73" s="31">
        <v>1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32"/>
      <c r="W73" s="22" t="str">
        <f t="shared" si="2"/>
        <v>,(69,10,124,630,5,"11","2024-05-10",1,1)</v>
      </c>
    </row>
    <row r="74" spans="2:23" x14ac:dyDescent="0.4">
      <c r="B74" s="33">
        <v>70</v>
      </c>
      <c r="C74" s="33">
        <v>70</v>
      </c>
      <c r="D74" s="33">
        <v>11</v>
      </c>
      <c r="E74" s="33">
        <v>76</v>
      </c>
      <c r="F74" s="33">
        <v>14850</v>
      </c>
      <c r="G74" s="33">
        <v>2</v>
      </c>
      <c r="H74" s="29" t="s">
        <v>887</v>
      </c>
      <c r="I74" s="33" t="s">
        <v>928</v>
      </c>
      <c r="J74" s="31">
        <v>1</v>
      </c>
      <c r="K74" s="31">
        <v>1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32"/>
      <c r="W74" s="22" t="str">
        <f t="shared" si="2"/>
        <v>,(70,11,76,14850,2,"11","2024-05-10",1,1)</v>
      </c>
    </row>
    <row r="75" spans="2:23" x14ac:dyDescent="0.4">
      <c r="B75" s="33">
        <v>71</v>
      </c>
      <c r="C75" s="33">
        <v>71</v>
      </c>
      <c r="D75" s="33">
        <v>18</v>
      </c>
      <c r="E75" s="33">
        <v>28</v>
      </c>
      <c r="F75" s="33">
        <v>960</v>
      </c>
      <c r="G75" s="33">
        <v>5</v>
      </c>
      <c r="H75" s="29" t="s">
        <v>887</v>
      </c>
      <c r="I75" s="33" t="s">
        <v>928</v>
      </c>
      <c r="J75" s="31">
        <v>1</v>
      </c>
      <c r="K75" s="31">
        <v>1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32"/>
      <c r="W75" s="22" t="str">
        <f t="shared" si="2"/>
        <v>,(71,18,28,960,5,"11","2024-05-10",1,1)</v>
      </c>
    </row>
    <row r="76" spans="2:23" x14ac:dyDescent="0.4">
      <c r="B76" s="33">
        <v>72</v>
      </c>
      <c r="C76" s="33">
        <v>72</v>
      </c>
      <c r="D76" s="33">
        <v>19</v>
      </c>
      <c r="E76" s="33">
        <v>14</v>
      </c>
      <c r="F76" s="33">
        <v>6040</v>
      </c>
      <c r="G76" s="33">
        <v>1</v>
      </c>
      <c r="H76" s="29" t="s">
        <v>887</v>
      </c>
      <c r="I76" s="33" t="s">
        <v>928</v>
      </c>
      <c r="J76" s="31">
        <v>1</v>
      </c>
      <c r="K76" s="31">
        <v>1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32"/>
      <c r="W76" s="22" t="str">
        <f t="shared" si="2"/>
        <v>,(72,19,14,6040,1,"11","2024-05-10",1,1)</v>
      </c>
    </row>
    <row r="77" spans="2:23" x14ac:dyDescent="0.4">
      <c r="B77" s="33">
        <v>73</v>
      </c>
      <c r="C77" s="33">
        <v>73</v>
      </c>
      <c r="D77" s="33">
        <v>19</v>
      </c>
      <c r="E77" s="33">
        <v>13</v>
      </c>
      <c r="F77" s="33">
        <v>7130</v>
      </c>
      <c r="G77" s="33">
        <v>1</v>
      </c>
      <c r="H77" s="29" t="s">
        <v>887</v>
      </c>
      <c r="I77" s="33" t="s">
        <v>928</v>
      </c>
      <c r="J77" s="31">
        <v>1</v>
      </c>
      <c r="K77" s="31">
        <v>1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32"/>
      <c r="W77" s="22" t="str">
        <f t="shared" si="2"/>
        <v>,(73,19,13,7130,1,"11","2024-05-10",1,1)</v>
      </c>
    </row>
    <row r="78" spans="2:23" x14ac:dyDescent="0.4">
      <c r="B78" s="33">
        <v>74</v>
      </c>
      <c r="C78" s="33">
        <v>74</v>
      </c>
      <c r="D78" s="33">
        <v>11</v>
      </c>
      <c r="E78" s="33">
        <v>136</v>
      </c>
      <c r="F78" s="33">
        <v>590</v>
      </c>
      <c r="G78" s="33">
        <v>5</v>
      </c>
      <c r="H78" s="29" t="s">
        <v>887</v>
      </c>
      <c r="I78" s="33" t="s">
        <v>928</v>
      </c>
      <c r="J78" s="31">
        <v>1</v>
      </c>
      <c r="K78" s="31">
        <v>1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32"/>
      <c r="W78" s="22" t="str">
        <f t="shared" si="2"/>
        <v>,(74,11,136,590,5,"11","2024-05-10",1,1)</v>
      </c>
    </row>
    <row r="79" spans="2:23" x14ac:dyDescent="0.4">
      <c r="B79" s="33">
        <v>75</v>
      </c>
      <c r="C79" s="33">
        <v>75</v>
      </c>
      <c r="D79" s="33">
        <v>11</v>
      </c>
      <c r="E79" s="33">
        <v>141</v>
      </c>
      <c r="F79" s="33">
        <v>500</v>
      </c>
      <c r="G79" s="33">
        <v>10</v>
      </c>
      <c r="H79" s="29" t="s">
        <v>887</v>
      </c>
      <c r="I79" s="33" t="s">
        <v>928</v>
      </c>
      <c r="J79" s="31">
        <v>1</v>
      </c>
      <c r="K79" s="31">
        <v>1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32"/>
      <c r="W79" s="22" t="str">
        <f t="shared" si="2"/>
        <v>,(75,11,141,500,10,"11","2024-05-10",1,1)</v>
      </c>
    </row>
    <row r="80" spans="2:23" x14ac:dyDescent="0.4">
      <c r="B80" s="33">
        <v>76</v>
      </c>
      <c r="C80" s="33">
        <v>76</v>
      </c>
      <c r="D80" s="33">
        <v>11</v>
      </c>
      <c r="E80" s="33">
        <v>144</v>
      </c>
      <c r="F80" s="33">
        <v>620</v>
      </c>
      <c r="G80" s="33">
        <v>2</v>
      </c>
      <c r="H80" s="29" t="s">
        <v>887</v>
      </c>
      <c r="I80" s="33" t="s">
        <v>928</v>
      </c>
      <c r="J80" s="31">
        <v>1</v>
      </c>
      <c r="K80" s="31">
        <v>1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32"/>
      <c r="W80" s="22" t="str">
        <f t="shared" si="2"/>
        <v>,(76,11,144,620,2,"11","2024-05-10",1,1)</v>
      </c>
    </row>
    <row r="81" spans="2:23" x14ac:dyDescent="0.4">
      <c r="B81" s="33">
        <v>77</v>
      </c>
      <c r="C81" s="33">
        <v>77</v>
      </c>
      <c r="D81" s="33">
        <v>18</v>
      </c>
      <c r="E81" s="33">
        <v>41</v>
      </c>
      <c r="F81" s="33">
        <v>5560</v>
      </c>
      <c r="G81" s="33">
        <v>3</v>
      </c>
      <c r="H81" s="29" t="s">
        <v>887</v>
      </c>
      <c r="I81" s="33" t="s">
        <v>927</v>
      </c>
      <c r="J81" s="31">
        <v>1</v>
      </c>
      <c r="K81" s="31">
        <v>1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32"/>
      <c r="W81" s="22" t="str">
        <f t="shared" si="2"/>
        <v>,(77,18,41,5560,3,"11","2024-06-07",1,1)</v>
      </c>
    </row>
    <row r="82" spans="2:23" x14ac:dyDescent="0.4">
      <c r="B82" s="33">
        <v>78</v>
      </c>
      <c r="C82" s="33">
        <v>78</v>
      </c>
      <c r="D82" s="33">
        <v>20</v>
      </c>
      <c r="E82" s="33">
        <v>41</v>
      </c>
      <c r="F82" s="33">
        <v>5560</v>
      </c>
      <c r="G82" s="33">
        <v>2</v>
      </c>
      <c r="H82" s="29" t="s">
        <v>887</v>
      </c>
      <c r="I82" s="33" t="s">
        <v>927</v>
      </c>
      <c r="J82" s="31">
        <v>1</v>
      </c>
      <c r="K82" s="31">
        <v>1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32"/>
      <c r="W82" s="22" t="str">
        <f t="shared" si="2"/>
        <v>,(78,20,41,5560,2,"11","2024-06-07",1,1)</v>
      </c>
    </row>
    <row r="83" spans="2:23" x14ac:dyDescent="0.4">
      <c r="B83" s="33">
        <v>79</v>
      </c>
      <c r="C83" s="33">
        <v>79</v>
      </c>
      <c r="D83" s="33">
        <v>14</v>
      </c>
      <c r="E83" s="33">
        <v>92</v>
      </c>
      <c r="F83" s="33">
        <v>4360</v>
      </c>
      <c r="G83" s="33">
        <v>2</v>
      </c>
      <c r="H83" s="29" t="s">
        <v>887</v>
      </c>
      <c r="I83" s="33" t="s">
        <v>927</v>
      </c>
      <c r="J83" s="31">
        <v>1</v>
      </c>
      <c r="K83" s="31">
        <v>1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32"/>
      <c r="W83" s="22" t="str">
        <f t="shared" si="2"/>
        <v>,(79,14,92,4360,2,"11","2024-06-07",1,1)</v>
      </c>
    </row>
    <row r="84" spans="2:23" x14ac:dyDescent="0.4">
      <c r="B84" s="33">
        <v>80</v>
      </c>
      <c r="C84" s="33">
        <v>80</v>
      </c>
      <c r="D84" s="33">
        <v>14</v>
      </c>
      <c r="E84" s="33">
        <v>93</v>
      </c>
      <c r="F84" s="33">
        <v>4740</v>
      </c>
      <c r="G84" s="33">
        <v>2</v>
      </c>
      <c r="H84" s="29" t="s">
        <v>887</v>
      </c>
      <c r="I84" s="33" t="s">
        <v>927</v>
      </c>
      <c r="J84" s="31">
        <v>1</v>
      </c>
      <c r="K84" s="31">
        <v>1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32"/>
      <c r="W84" s="22" t="str">
        <f t="shared" si="2"/>
        <v>,(80,14,93,4740,2,"11","2024-06-07",1,1)</v>
      </c>
    </row>
    <row r="85" spans="2:23" x14ac:dyDescent="0.4">
      <c r="B85" s="33">
        <v>81</v>
      </c>
      <c r="C85" s="33">
        <v>81</v>
      </c>
      <c r="D85" s="33">
        <v>18</v>
      </c>
      <c r="E85" s="33">
        <v>97</v>
      </c>
      <c r="F85" s="33">
        <v>500</v>
      </c>
      <c r="G85" s="33">
        <v>10</v>
      </c>
      <c r="H85" s="29" t="s">
        <v>887</v>
      </c>
      <c r="I85" s="33" t="s">
        <v>927</v>
      </c>
      <c r="J85" s="31">
        <v>1</v>
      </c>
      <c r="K85" s="31">
        <v>1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32"/>
      <c r="W85" s="22" t="str">
        <f t="shared" si="2"/>
        <v>,(81,18,97,500,10,"11","2024-06-07",1,1)</v>
      </c>
    </row>
    <row r="86" spans="2:23" x14ac:dyDescent="0.4">
      <c r="B86" s="33">
        <v>82</v>
      </c>
      <c r="C86" s="33">
        <v>82</v>
      </c>
      <c r="D86" s="33">
        <v>14</v>
      </c>
      <c r="E86" s="33">
        <v>27</v>
      </c>
      <c r="F86" s="33">
        <v>570</v>
      </c>
      <c r="G86" s="33">
        <v>24</v>
      </c>
      <c r="H86" s="29" t="s">
        <v>887</v>
      </c>
      <c r="I86" s="33" t="s">
        <v>927</v>
      </c>
      <c r="J86" s="31">
        <v>1</v>
      </c>
      <c r="K86" s="31">
        <v>1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32"/>
      <c r="W86" s="22" t="str">
        <f t="shared" si="2"/>
        <v>,(82,14,27,570,24,"11","2024-06-07",1,1)</v>
      </c>
    </row>
    <row r="87" spans="2:23" x14ac:dyDescent="0.4">
      <c r="B87" s="33">
        <v>83</v>
      </c>
      <c r="C87" s="33">
        <v>83</v>
      </c>
      <c r="D87" s="33">
        <v>20</v>
      </c>
      <c r="E87" s="33">
        <v>101</v>
      </c>
      <c r="F87" s="33">
        <v>5700</v>
      </c>
      <c r="G87" s="33">
        <v>2</v>
      </c>
      <c r="H87" s="29" t="s">
        <v>887</v>
      </c>
      <c r="I87" s="33" t="s">
        <v>927</v>
      </c>
      <c r="J87" s="31">
        <v>1</v>
      </c>
      <c r="K87" s="31">
        <v>1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32"/>
      <c r="W87" s="22" t="str">
        <f t="shared" si="2"/>
        <v>,(83,20,101,5700,2,"11","2024-06-07",1,1)</v>
      </c>
    </row>
    <row r="88" spans="2:23" x14ac:dyDescent="0.4">
      <c r="B88" s="33">
        <v>84</v>
      </c>
      <c r="C88" s="33">
        <v>84</v>
      </c>
      <c r="D88" s="33">
        <v>4</v>
      </c>
      <c r="E88" s="33">
        <v>132</v>
      </c>
      <c r="F88" s="33">
        <v>730</v>
      </c>
      <c r="G88" s="33">
        <v>20</v>
      </c>
      <c r="H88" s="29" t="s">
        <v>887</v>
      </c>
      <c r="I88" s="33" t="s">
        <v>927</v>
      </c>
      <c r="J88" s="31">
        <v>1</v>
      </c>
      <c r="K88" s="31">
        <v>1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32"/>
      <c r="W88" s="22" t="str">
        <f t="shared" si="2"/>
        <v>,(84,4,132,730,20,"11","2024-06-07",1,1)</v>
      </c>
    </row>
    <row r="89" spans="2:23" x14ac:dyDescent="0.4">
      <c r="B89" s="33">
        <v>85</v>
      </c>
      <c r="C89" s="33">
        <v>85</v>
      </c>
      <c r="D89" s="33">
        <v>14</v>
      </c>
      <c r="E89" s="33">
        <v>137</v>
      </c>
      <c r="F89" s="33">
        <v>410</v>
      </c>
      <c r="G89" s="33">
        <v>15</v>
      </c>
      <c r="H89" s="29" t="s">
        <v>887</v>
      </c>
      <c r="I89" s="33" t="s">
        <v>927</v>
      </c>
      <c r="J89" s="31">
        <v>1</v>
      </c>
      <c r="K89" s="31">
        <v>1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32"/>
      <c r="W89" s="22" t="str">
        <f t="shared" si="2"/>
        <v>,(85,14,137,410,15,"11","2024-06-07",1,1)</v>
      </c>
    </row>
    <row r="90" spans="2:23" x14ac:dyDescent="0.4">
      <c r="B90" s="33">
        <v>86</v>
      </c>
      <c r="C90" s="33">
        <v>86</v>
      </c>
      <c r="D90" s="33">
        <v>14</v>
      </c>
      <c r="E90" s="33">
        <v>12</v>
      </c>
      <c r="F90" s="33">
        <v>450</v>
      </c>
      <c r="G90" s="33">
        <v>5</v>
      </c>
      <c r="H90" s="29" t="s">
        <v>887</v>
      </c>
      <c r="I90" s="33" t="s">
        <v>927</v>
      </c>
      <c r="J90" s="31">
        <v>1</v>
      </c>
      <c r="K90" s="31">
        <v>1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32"/>
      <c r="W90" s="22" t="str">
        <f t="shared" si="2"/>
        <v>,(86,14,12,450,5,"11","2024-06-07",1,1)</v>
      </c>
    </row>
    <row r="91" spans="2:23" x14ac:dyDescent="0.4">
      <c r="B91" s="33">
        <v>87</v>
      </c>
      <c r="C91" s="33">
        <v>87</v>
      </c>
      <c r="D91" s="33">
        <v>2</v>
      </c>
      <c r="E91" s="33">
        <v>15</v>
      </c>
      <c r="F91" s="33">
        <v>680</v>
      </c>
      <c r="G91" s="33">
        <v>20</v>
      </c>
      <c r="H91" s="29" t="s">
        <v>887</v>
      </c>
      <c r="I91" s="33" t="s">
        <v>927</v>
      </c>
      <c r="J91" s="31">
        <v>1</v>
      </c>
      <c r="K91" s="31">
        <v>1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32"/>
      <c r="W91" s="22" t="str">
        <f t="shared" si="2"/>
        <v>,(87,2,15,680,20,"11","2024-06-07",1,1)</v>
      </c>
    </row>
    <row r="92" spans="2:23" x14ac:dyDescent="0.4">
      <c r="B92" s="33">
        <v>88</v>
      </c>
      <c r="C92" s="33">
        <v>88</v>
      </c>
      <c r="D92" s="33">
        <v>8</v>
      </c>
      <c r="E92" s="33">
        <v>15</v>
      </c>
      <c r="F92" s="33">
        <v>680</v>
      </c>
      <c r="G92" s="33">
        <v>20</v>
      </c>
      <c r="H92" s="29" t="s">
        <v>887</v>
      </c>
      <c r="I92" s="33" t="s">
        <v>927</v>
      </c>
      <c r="J92" s="31">
        <v>1</v>
      </c>
      <c r="K92" s="31">
        <v>1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32"/>
      <c r="W92" s="22" t="str">
        <f t="shared" si="2"/>
        <v>,(88,8,15,680,20,"11","2024-06-07",1,1)</v>
      </c>
    </row>
    <row r="93" spans="2:23" x14ac:dyDescent="0.4">
      <c r="B93" s="33">
        <v>89</v>
      </c>
      <c r="C93" s="33">
        <v>89</v>
      </c>
      <c r="D93" s="33">
        <v>9</v>
      </c>
      <c r="E93" s="33">
        <v>15</v>
      </c>
      <c r="F93" s="33">
        <v>680</v>
      </c>
      <c r="G93" s="33">
        <v>20</v>
      </c>
      <c r="H93" s="29" t="s">
        <v>887</v>
      </c>
      <c r="I93" s="33" t="s">
        <v>927</v>
      </c>
      <c r="J93" s="31">
        <v>1</v>
      </c>
      <c r="K93" s="31">
        <v>1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32"/>
      <c r="W93" s="22" t="str">
        <f t="shared" si="2"/>
        <v>,(89,9,15,680,20,"11","2024-06-07",1,1)</v>
      </c>
    </row>
    <row r="94" spans="2:23" x14ac:dyDescent="0.4">
      <c r="B94" s="33">
        <v>90</v>
      </c>
      <c r="C94" s="33">
        <v>90</v>
      </c>
      <c r="D94" s="33">
        <v>14</v>
      </c>
      <c r="E94" s="33">
        <v>15</v>
      </c>
      <c r="F94" s="33">
        <v>680</v>
      </c>
      <c r="G94" s="33">
        <v>40</v>
      </c>
      <c r="H94" s="29" t="s">
        <v>887</v>
      </c>
      <c r="I94" s="33" t="s">
        <v>927</v>
      </c>
      <c r="J94" s="31">
        <v>1</v>
      </c>
      <c r="K94" s="31">
        <v>1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32"/>
      <c r="W94" s="22" t="str">
        <f t="shared" si="2"/>
        <v>,(90,14,15,680,40,"11","2024-06-07",1,1)</v>
      </c>
    </row>
    <row r="95" spans="2:23" x14ac:dyDescent="0.4">
      <c r="B95" s="33">
        <v>91</v>
      </c>
      <c r="C95" s="33">
        <v>91</v>
      </c>
      <c r="D95" s="33">
        <v>4</v>
      </c>
      <c r="E95" s="33">
        <v>93</v>
      </c>
      <c r="F95" s="33">
        <v>4740</v>
      </c>
      <c r="G95" s="33">
        <v>1</v>
      </c>
      <c r="H95" s="29" t="s">
        <v>887</v>
      </c>
      <c r="I95" s="33" t="s">
        <v>943</v>
      </c>
      <c r="J95" s="31">
        <v>1</v>
      </c>
      <c r="K95" s="31">
        <v>1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32"/>
      <c r="W95" s="22" t="str">
        <f t="shared" si="2"/>
        <v>,(91,4,93,4740,1,"11","2024-06-28",1,1)</v>
      </c>
    </row>
    <row r="96" spans="2:23" x14ac:dyDescent="0.4">
      <c r="B96" s="33">
        <v>92</v>
      </c>
      <c r="C96" s="33">
        <v>92</v>
      </c>
      <c r="D96" s="33">
        <v>23</v>
      </c>
      <c r="E96" s="33">
        <v>93</v>
      </c>
      <c r="F96" s="33">
        <v>4740</v>
      </c>
      <c r="G96" s="33">
        <v>2</v>
      </c>
      <c r="H96" s="29" t="s">
        <v>887</v>
      </c>
      <c r="I96" s="33" t="s">
        <v>943</v>
      </c>
      <c r="J96" s="31">
        <v>1</v>
      </c>
      <c r="K96" s="31">
        <v>1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32"/>
      <c r="W96" s="22" t="str">
        <f t="shared" si="2"/>
        <v>,(92,23,93,4740,2,"11","2024-06-28",1,1)</v>
      </c>
    </row>
    <row r="97" spans="2:23" x14ac:dyDescent="0.4">
      <c r="B97" s="33">
        <v>93</v>
      </c>
      <c r="C97" s="33">
        <v>93</v>
      </c>
      <c r="D97" s="33">
        <v>18</v>
      </c>
      <c r="E97" s="33">
        <v>38</v>
      </c>
      <c r="F97" s="33">
        <v>700</v>
      </c>
      <c r="G97" s="33">
        <v>40</v>
      </c>
      <c r="H97" s="29" t="s">
        <v>887</v>
      </c>
      <c r="I97" s="33" t="s">
        <v>943</v>
      </c>
      <c r="J97" s="31">
        <v>1</v>
      </c>
      <c r="K97" s="31">
        <v>1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32"/>
      <c r="W97" s="22" t="str">
        <f t="shared" si="2"/>
        <v>,(93,18,38,700,40,"11","2024-06-28",1,1)</v>
      </c>
    </row>
    <row r="98" spans="2:23" x14ac:dyDescent="0.4">
      <c r="B98" s="33">
        <v>94</v>
      </c>
      <c r="C98" s="33">
        <v>94</v>
      </c>
      <c r="D98" s="33">
        <v>20</v>
      </c>
      <c r="E98" s="33">
        <v>38</v>
      </c>
      <c r="F98" s="33">
        <v>700</v>
      </c>
      <c r="G98" s="33">
        <v>50</v>
      </c>
      <c r="H98" s="29" t="s">
        <v>887</v>
      </c>
      <c r="I98" s="33" t="s">
        <v>943</v>
      </c>
      <c r="J98" s="31">
        <v>1</v>
      </c>
      <c r="K98" s="31">
        <v>1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32"/>
      <c r="W98" s="22" t="str">
        <f t="shared" si="2"/>
        <v>,(94,20,38,700,50,"11","2024-06-28",1,1)</v>
      </c>
    </row>
    <row r="99" spans="2:23" x14ac:dyDescent="0.4">
      <c r="B99" s="33">
        <v>95</v>
      </c>
      <c r="C99" s="33">
        <v>95</v>
      </c>
      <c r="D99" s="33">
        <v>12</v>
      </c>
      <c r="E99" s="33">
        <v>108</v>
      </c>
      <c r="F99" s="33">
        <v>21010</v>
      </c>
      <c r="G99" s="33">
        <v>1</v>
      </c>
      <c r="H99" s="29" t="s">
        <v>887</v>
      </c>
      <c r="I99" s="33" t="s">
        <v>943</v>
      </c>
      <c r="J99" s="31">
        <v>1</v>
      </c>
      <c r="K99" s="31">
        <v>1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32"/>
      <c r="W99" s="22" t="str">
        <f t="shared" si="2"/>
        <v>,(95,12,108,21010,1,"11","2024-06-28",1,1)</v>
      </c>
    </row>
    <row r="100" spans="2:23" x14ac:dyDescent="0.4">
      <c r="B100" s="33">
        <v>96</v>
      </c>
      <c r="C100" s="33">
        <v>96</v>
      </c>
      <c r="D100" s="33">
        <v>9</v>
      </c>
      <c r="E100" s="33">
        <v>15</v>
      </c>
      <c r="F100" s="33">
        <v>680</v>
      </c>
      <c r="G100" s="33">
        <v>20</v>
      </c>
      <c r="H100" s="29" t="s">
        <v>887</v>
      </c>
      <c r="I100" s="33" t="s">
        <v>943</v>
      </c>
      <c r="J100" s="31">
        <v>1</v>
      </c>
      <c r="K100" s="31">
        <v>1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32"/>
      <c r="W100" s="22" t="str">
        <f t="shared" si="2"/>
        <v>,(96,9,15,680,20,"11","2024-06-28",1,1)</v>
      </c>
    </row>
    <row r="101" spans="2:23" x14ac:dyDescent="0.4">
      <c r="B101" s="33">
        <v>97</v>
      </c>
      <c r="C101" s="33">
        <v>97</v>
      </c>
      <c r="D101" s="33">
        <v>23</v>
      </c>
      <c r="E101" s="33">
        <v>18</v>
      </c>
      <c r="F101" s="33">
        <v>620</v>
      </c>
      <c r="G101" s="33">
        <v>72</v>
      </c>
      <c r="H101" s="29" t="s">
        <v>887</v>
      </c>
      <c r="I101" s="33" t="s">
        <v>943</v>
      </c>
      <c r="J101" s="31">
        <v>1</v>
      </c>
      <c r="K101" s="31">
        <v>1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32"/>
      <c r="W101" s="22" t="str">
        <f t="shared" ref="W101:W132" si="3">_xlfn.CONCAT(IF(B101=1,"",","),"(",_xlfn.TEXTJOIN(",",TRUE,C101:V101),")")</f>
        <v>,(97,23,18,620,72,"11","2024-06-28",1,1)</v>
      </c>
    </row>
    <row r="102" spans="2:23" x14ac:dyDescent="0.4">
      <c r="B102" s="33">
        <v>98</v>
      </c>
      <c r="C102" s="33">
        <v>98</v>
      </c>
      <c r="D102" s="33">
        <v>21</v>
      </c>
      <c r="E102" s="33">
        <v>147</v>
      </c>
      <c r="F102" s="33">
        <v>3590</v>
      </c>
      <c r="G102" s="33">
        <v>1</v>
      </c>
      <c r="H102" s="29" t="s">
        <v>887</v>
      </c>
      <c r="I102" s="33" t="s">
        <v>922</v>
      </c>
      <c r="J102" s="31">
        <v>1</v>
      </c>
      <c r="K102" s="31">
        <v>1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32"/>
      <c r="W102" s="22" t="str">
        <f t="shared" si="3"/>
        <v>,(98,21,147,3590,1,"11","2024-07-12",1,1)</v>
      </c>
    </row>
    <row r="103" spans="2:23" x14ac:dyDescent="0.4">
      <c r="B103" s="33">
        <v>99</v>
      </c>
      <c r="C103" s="33">
        <v>99</v>
      </c>
      <c r="D103" s="33">
        <v>21</v>
      </c>
      <c r="E103" s="33">
        <v>37</v>
      </c>
      <c r="F103" s="33">
        <v>480</v>
      </c>
      <c r="G103" s="33">
        <v>10</v>
      </c>
      <c r="H103" s="29" t="s">
        <v>887</v>
      </c>
      <c r="I103" s="33" t="s">
        <v>922</v>
      </c>
      <c r="J103" s="31">
        <v>1</v>
      </c>
      <c r="K103" s="31">
        <v>1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32"/>
      <c r="W103" s="22" t="str">
        <f t="shared" si="3"/>
        <v>,(99,21,37,480,10,"11","2024-07-12",1,1)</v>
      </c>
    </row>
    <row r="104" spans="2:23" x14ac:dyDescent="0.4">
      <c r="B104" s="33">
        <v>100</v>
      </c>
      <c r="C104" s="33">
        <v>100</v>
      </c>
      <c r="D104" s="33">
        <v>13</v>
      </c>
      <c r="E104" s="33">
        <v>47</v>
      </c>
      <c r="F104" s="33">
        <v>4320</v>
      </c>
      <c r="G104" s="33">
        <v>2</v>
      </c>
      <c r="H104" s="29" t="s">
        <v>887</v>
      </c>
      <c r="I104" s="33" t="s">
        <v>922</v>
      </c>
      <c r="J104" s="31">
        <v>1</v>
      </c>
      <c r="K104" s="31">
        <v>1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32"/>
      <c r="W104" s="22" t="str">
        <f t="shared" si="3"/>
        <v>,(100,13,47,4320,2,"11","2024-07-12",1,1)</v>
      </c>
    </row>
    <row r="105" spans="2:23" x14ac:dyDescent="0.4">
      <c r="B105" s="33">
        <v>101</v>
      </c>
      <c r="C105" s="33">
        <v>101</v>
      </c>
      <c r="D105" s="33">
        <v>4</v>
      </c>
      <c r="E105" s="33">
        <v>39</v>
      </c>
      <c r="F105" s="33">
        <v>4750</v>
      </c>
      <c r="G105" s="33">
        <v>1</v>
      </c>
      <c r="H105" s="29" t="s">
        <v>887</v>
      </c>
      <c r="I105" s="33" t="s">
        <v>922</v>
      </c>
      <c r="J105" s="31">
        <v>1</v>
      </c>
      <c r="K105" s="31">
        <v>1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32"/>
      <c r="W105" s="22" t="str">
        <f t="shared" si="3"/>
        <v>,(101,4,39,4750,1,"11","2024-07-12",1,1)</v>
      </c>
    </row>
    <row r="106" spans="2:23" x14ac:dyDescent="0.4">
      <c r="B106" s="33">
        <v>102</v>
      </c>
      <c r="C106" s="33">
        <v>102</v>
      </c>
      <c r="D106" s="33">
        <v>13</v>
      </c>
      <c r="E106" s="33">
        <v>39</v>
      </c>
      <c r="F106" s="33">
        <v>4750</v>
      </c>
      <c r="G106" s="33">
        <v>5</v>
      </c>
      <c r="H106" s="29" t="s">
        <v>887</v>
      </c>
      <c r="I106" s="33" t="s">
        <v>922</v>
      </c>
      <c r="J106" s="31">
        <v>1</v>
      </c>
      <c r="K106" s="31">
        <v>1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32"/>
      <c r="W106" s="22" t="str">
        <f t="shared" si="3"/>
        <v>,(102,13,39,4750,5,"11","2024-07-12",1,1)</v>
      </c>
    </row>
    <row r="107" spans="2:23" x14ac:dyDescent="0.4">
      <c r="B107" s="33">
        <v>103</v>
      </c>
      <c r="C107" s="33">
        <v>103</v>
      </c>
      <c r="D107" s="33">
        <v>21</v>
      </c>
      <c r="E107" s="33">
        <v>52</v>
      </c>
      <c r="F107" s="33">
        <v>11800</v>
      </c>
      <c r="G107" s="33">
        <v>1</v>
      </c>
      <c r="H107" s="29" t="s">
        <v>887</v>
      </c>
      <c r="I107" s="33" t="s">
        <v>922</v>
      </c>
      <c r="J107" s="31">
        <v>1</v>
      </c>
      <c r="K107" s="31">
        <v>1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32"/>
      <c r="W107" s="22" t="str">
        <f t="shared" si="3"/>
        <v>,(103,21,52,11800,1,"11","2024-07-12",1,1)</v>
      </c>
    </row>
    <row r="108" spans="2:23" x14ac:dyDescent="0.4">
      <c r="B108" s="33">
        <v>104</v>
      </c>
      <c r="C108" s="33">
        <v>104</v>
      </c>
      <c r="D108" s="33">
        <v>21</v>
      </c>
      <c r="E108" s="33">
        <v>38</v>
      </c>
      <c r="F108" s="33">
        <v>700</v>
      </c>
      <c r="G108" s="33">
        <v>10</v>
      </c>
      <c r="H108" s="29" t="s">
        <v>887</v>
      </c>
      <c r="I108" s="33" t="s">
        <v>922</v>
      </c>
      <c r="J108" s="31">
        <v>1</v>
      </c>
      <c r="K108" s="31">
        <v>1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32"/>
      <c r="W108" s="22" t="str">
        <f t="shared" si="3"/>
        <v>,(104,21,38,700,10,"11","2024-07-12",1,1)</v>
      </c>
    </row>
    <row r="109" spans="2:23" x14ac:dyDescent="0.4">
      <c r="B109" s="33">
        <v>105</v>
      </c>
      <c r="C109" s="33">
        <v>105</v>
      </c>
      <c r="D109" s="33">
        <v>12</v>
      </c>
      <c r="E109" s="33">
        <v>58</v>
      </c>
      <c r="F109" s="33">
        <v>10890</v>
      </c>
      <c r="G109" s="33">
        <v>2</v>
      </c>
      <c r="H109" s="29" t="s">
        <v>887</v>
      </c>
      <c r="I109" s="33" t="s">
        <v>922</v>
      </c>
      <c r="J109" s="31">
        <v>1</v>
      </c>
      <c r="K109" s="31">
        <v>1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32"/>
      <c r="W109" s="22" t="str">
        <f t="shared" si="3"/>
        <v>,(105,12,58,10890,2,"11","2024-07-12",1,1)</v>
      </c>
    </row>
    <row r="110" spans="2:23" x14ac:dyDescent="0.4">
      <c r="B110" s="33">
        <v>106</v>
      </c>
      <c r="C110" s="33">
        <v>106</v>
      </c>
      <c r="D110" s="33">
        <v>4</v>
      </c>
      <c r="E110" s="33">
        <v>153</v>
      </c>
      <c r="F110" s="33">
        <v>2400</v>
      </c>
      <c r="G110" s="33">
        <v>1</v>
      </c>
      <c r="H110" s="29" t="s">
        <v>887</v>
      </c>
      <c r="I110" s="33" t="s">
        <v>922</v>
      </c>
      <c r="J110" s="31">
        <v>1</v>
      </c>
      <c r="K110" s="31">
        <v>1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32"/>
      <c r="W110" s="22" t="str">
        <f t="shared" si="3"/>
        <v>,(106,4,153,2400,1,"11","2024-07-12",1,1)</v>
      </c>
    </row>
    <row r="111" spans="2:23" x14ac:dyDescent="0.4">
      <c r="B111" s="33">
        <v>107</v>
      </c>
      <c r="C111" s="33">
        <v>107</v>
      </c>
      <c r="D111" s="33">
        <v>21</v>
      </c>
      <c r="E111" s="33">
        <v>153</v>
      </c>
      <c r="F111" s="33">
        <v>2400</v>
      </c>
      <c r="G111" s="33">
        <v>2</v>
      </c>
      <c r="H111" s="29" t="s">
        <v>887</v>
      </c>
      <c r="I111" s="33" t="s">
        <v>922</v>
      </c>
      <c r="J111" s="31">
        <v>1</v>
      </c>
      <c r="K111" s="31">
        <v>1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32"/>
      <c r="W111" s="22" t="str">
        <f t="shared" si="3"/>
        <v>,(107,21,153,2400,2,"11","2024-07-12",1,1)</v>
      </c>
    </row>
    <row r="112" spans="2:23" x14ac:dyDescent="0.4">
      <c r="B112" s="33">
        <v>108</v>
      </c>
      <c r="C112" s="33">
        <v>108</v>
      </c>
      <c r="D112" s="33">
        <v>12</v>
      </c>
      <c r="E112" s="33">
        <v>121</v>
      </c>
      <c r="F112" s="33">
        <v>580</v>
      </c>
      <c r="G112" s="33">
        <v>20</v>
      </c>
      <c r="H112" s="29" t="s">
        <v>887</v>
      </c>
      <c r="I112" s="33" t="s">
        <v>922</v>
      </c>
      <c r="J112" s="31">
        <v>1</v>
      </c>
      <c r="K112" s="31">
        <v>1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32"/>
      <c r="W112" s="22" t="str">
        <f t="shared" si="3"/>
        <v>,(108,12,121,580,20,"11","2024-07-12",1,1)</v>
      </c>
    </row>
    <row r="113" spans="2:23" x14ac:dyDescent="0.4">
      <c r="B113" s="33">
        <v>109</v>
      </c>
      <c r="C113" s="33">
        <v>109</v>
      </c>
      <c r="D113" s="33">
        <v>12</v>
      </c>
      <c r="E113" s="33">
        <v>108</v>
      </c>
      <c r="F113" s="33">
        <v>21010</v>
      </c>
      <c r="G113" s="33">
        <v>3</v>
      </c>
      <c r="H113" s="29" t="s">
        <v>887</v>
      </c>
      <c r="I113" s="33" t="s">
        <v>922</v>
      </c>
      <c r="J113" s="31">
        <v>1</v>
      </c>
      <c r="K113" s="31">
        <v>1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32"/>
      <c r="W113" s="22" t="str">
        <f t="shared" si="3"/>
        <v>,(109,12,108,21010,3,"11","2024-07-12",1,1)</v>
      </c>
    </row>
    <row r="114" spans="2:23" x14ac:dyDescent="0.4">
      <c r="B114" s="33">
        <v>110</v>
      </c>
      <c r="C114" s="33">
        <v>110</v>
      </c>
      <c r="D114" s="33">
        <v>2</v>
      </c>
      <c r="E114" s="33">
        <v>34</v>
      </c>
      <c r="F114" s="33">
        <v>940</v>
      </c>
      <c r="G114" s="33">
        <v>10</v>
      </c>
      <c r="H114" s="29" t="s">
        <v>887</v>
      </c>
      <c r="I114" s="33" t="s">
        <v>922</v>
      </c>
      <c r="J114" s="31">
        <v>1</v>
      </c>
      <c r="K114" s="31">
        <v>1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32"/>
      <c r="W114" s="22" t="str">
        <f t="shared" si="3"/>
        <v>,(110,2,34,940,10,"11","2024-07-12",1,1)</v>
      </c>
    </row>
    <row r="115" spans="2:23" x14ac:dyDescent="0.4">
      <c r="B115" s="33">
        <v>111</v>
      </c>
      <c r="C115" s="33">
        <v>111</v>
      </c>
      <c r="D115" s="33">
        <v>2</v>
      </c>
      <c r="E115" s="33">
        <v>36</v>
      </c>
      <c r="F115" s="33">
        <v>1080</v>
      </c>
      <c r="G115" s="33">
        <v>10</v>
      </c>
      <c r="H115" s="29" t="s">
        <v>887</v>
      </c>
      <c r="I115" s="33" t="s">
        <v>922</v>
      </c>
      <c r="J115" s="31">
        <v>1</v>
      </c>
      <c r="K115" s="31">
        <v>1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32"/>
      <c r="W115" s="22" t="str">
        <f t="shared" si="3"/>
        <v>,(111,2,36,1080,10,"11","2024-07-12",1,1)</v>
      </c>
    </row>
    <row r="116" spans="2:23" x14ac:dyDescent="0.4">
      <c r="B116" s="33">
        <v>112</v>
      </c>
      <c r="C116" s="33">
        <v>112</v>
      </c>
      <c r="D116" s="33">
        <v>14</v>
      </c>
      <c r="E116" s="33">
        <v>12</v>
      </c>
      <c r="F116" s="33">
        <v>450</v>
      </c>
      <c r="G116" s="33">
        <v>9</v>
      </c>
      <c r="H116" s="29" t="s">
        <v>887</v>
      </c>
      <c r="I116" s="33" t="s">
        <v>922</v>
      </c>
      <c r="J116" s="31">
        <v>1</v>
      </c>
      <c r="K116" s="31">
        <v>1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32"/>
      <c r="W116" s="22" t="str">
        <f t="shared" si="3"/>
        <v>,(112,14,12,450,9,"11","2024-07-12",1,1)</v>
      </c>
    </row>
    <row r="117" spans="2:23" x14ac:dyDescent="0.4">
      <c r="B117" s="33">
        <v>113</v>
      </c>
      <c r="C117" s="33">
        <v>113</v>
      </c>
      <c r="D117" s="33">
        <v>5</v>
      </c>
      <c r="E117" s="33">
        <v>15</v>
      </c>
      <c r="F117" s="33">
        <v>680</v>
      </c>
      <c r="G117" s="33">
        <v>20</v>
      </c>
      <c r="H117" s="29" t="s">
        <v>887</v>
      </c>
      <c r="I117" s="33" t="s">
        <v>922</v>
      </c>
      <c r="J117" s="31">
        <v>1</v>
      </c>
      <c r="K117" s="31">
        <v>1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32"/>
      <c r="W117" s="22" t="str">
        <f t="shared" si="3"/>
        <v>,(113,5,15,680,20,"11","2024-07-12",1,1)</v>
      </c>
    </row>
    <row r="118" spans="2:23" x14ac:dyDescent="0.4">
      <c r="B118" s="33">
        <v>114</v>
      </c>
      <c r="C118" s="33">
        <v>114</v>
      </c>
      <c r="D118" s="33">
        <v>8</v>
      </c>
      <c r="E118" s="33">
        <v>15</v>
      </c>
      <c r="F118" s="33">
        <v>680</v>
      </c>
      <c r="G118" s="33">
        <v>20</v>
      </c>
      <c r="H118" s="29" t="s">
        <v>887</v>
      </c>
      <c r="I118" s="33" t="s">
        <v>922</v>
      </c>
      <c r="J118" s="31">
        <v>1</v>
      </c>
      <c r="K118" s="31">
        <v>1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32"/>
      <c r="W118" s="22" t="str">
        <f t="shared" si="3"/>
        <v>,(114,8,15,680,20,"11","2024-07-12",1,1)</v>
      </c>
    </row>
    <row r="119" spans="2:23" x14ac:dyDescent="0.4">
      <c r="B119" s="33">
        <v>115</v>
      </c>
      <c r="C119" s="33">
        <v>115</v>
      </c>
      <c r="D119" s="33">
        <v>14</v>
      </c>
      <c r="E119" s="33">
        <v>15</v>
      </c>
      <c r="F119" s="33">
        <v>680</v>
      </c>
      <c r="G119" s="33">
        <v>20</v>
      </c>
      <c r="H119" s="29" t="s">
        <v>887</v>
      </c>
      <c r="I119" s="33" t="s">
        <v>922</v>
      </c>
      <c r="J119" s="31">
        <v>1</v>
      </c>
      <c r="K119" s="31">
        <v>1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32"/>
      <c r="W119" s="22" t="str">
        <f t="shared" si="3"/>
        <v>,(115,14,15,680,20,"11","2024-07-12",1,1)</v>
      </c>
    </row>
    <row r="120" spans="2:23" x14ac:dyDescent="0.4">
      <c r="B120" s="33">
        <v>116</v>
      </c>
      <c r="C120" s="33">
        <v>116</v>
      </c>
      <c r="D120" s="33">
        <v>12</v>
      </c>
      <c r="E120" s="33">
        <v>141</v>
      </c>
      <c r="F120" s="33">
        <v>500</v>
      </c>
      <c r="G120" s="33">
        <v>10</v>
      </c>
      <c r="H120" s="29" t="s">
        <v>887</v>
      </c>
      <c r="I120" s="33" t="s">
        <v>922</v>
      </c>
      <c r="J120" s="31">
        <v>1</v>
      </c>
      <c r="K120" s="31">
        <v>1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32"/>
      <c r="W120" s="22" t="str">
        <f t="shared" si="3"/>
        <v>,(116,12,141,500,10,"11","2024-07-12",1,1)</v>
      </c>
    </row>
    <row r="121" spans="2:23" x14ac:dyDescent="0.4">
      <c r="B121" s="33">
        <v>117</v>
      </c>
      <c r="C121" s="33">
        <v>117</v>
      </c>
      <c r="D121" s="33">
        <v>18</v>
      </c>
      <c r="E121" s="33">
        <v>172</v>
      </c>
      <c r="F121" s="33">
        <v>9240</v>
      </c>
      <c r="G121" s="33">
        <v>3</v>
      </c>
      <c r="H121" s="29" t="s">
        <v>887</v>
      </c>
      <c r="I121" s="33" t="s">
        <v>922</v>
      </c>
      <c r="J121" s="31">
        <v>1</v>
      </c>
      <c r="K121" s="31">
        <v>1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32"/>
      <c r="W121" s="22" t="str">
        <f t="shared" si="3"/>
        <v>,(117,18,172,9240,3,"11","2024-07-12",1,1)</v>
      </c>
    </row>
    <row r="122" spans="2:23" x14ac:dyDescent="0.4">
      <c r="B122" s="33">
        <v>118</v>
      </c>
      <c r="C122" s="33">
        <v>118</v>
      </c>
      <c r="D122" s="33">
        <v>18</v>
      </c>
      <c r="E122" s="33">
        <v>147</v>
      </c>
      <c r="F122" s="33">
        <v>3590</v>
      </c>
      <c r="G122" s="33">
        <v>1</v>
      </c>
      <c r="H122" s="29" t="s">
        <v>887</v>
      </c>
      <c r="I122" s="33" t="s">
        <v>942</v>
      </c>
      <c r="J122" s="31">
        <v>1</v>
      </c>
      <c r="K122" s="31">
        <v>1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32"/>
      <c r="W122" s="22" t="str">
        <f t="shared" si="3"/>
        <v>,(118,18,147,3590,1,"11","2024-08-02",1,1)</v>
      </c>
    </row>
    <row r="123" spans="2:23" x14ac:dyDescent="0.4">
      <c r="B123" s="33">
        <v>119</v>
      </c>
      <c r="C123" s="33">
        <v>119</v>
      </c>
      <c r="D123" s="33">
        <v>18</v>
      </c>
      <c r="E123" s="33">
        <v>106</v>
      </c>
      <c r="F123" s="33">
        <v>6770</v>
      </c>
      <c r="G123" s="33">
        <v>4</v>
      </c>
      <c r="H123" s="29" t="s">
        <v>887</v>
      </c>
      <c r="I123" s="33" t="s">
        <v>942</v>
      </c>
      <c r="J123" s="31">
        <v>1</v>
      </c>
      <c r="K123" s="31">
        <v>1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32"/>
      <c r="W123" s="22" t="str">
        <f t="shared" si="3"/>
        <v>,(119,18,106,6770,4,"11","2024-08-02",1,1)</v>
      </c>
    </row>
    <row r="124" spans="2:23" x14ac:dyDescent="0.4">
      <c r="B124" s="33">
        <v>120</v>
      </c>
      <c r="C124" s="33">
        <v>120</v>
      </c>
      <c r="D124" s="33">
        <v>4</v>
      </c>
      <c r="E124" s="33">
        <v>39</v>
      </c>
      <c r="F124" s="33">
        <v>4750</v>
      </c>
      <c r="G124" s="33">
        <v>1</v>
      </c>
      <c r="H124" s="29" t="s">
        <v>887</v>
      </c>
      <c r="I124" s="33" t="s">
        <v>942</v>
      </c>
      <c r="J124" s="31">
        <v>1</v>
      </c>
      <c r="K124" s="31">
        <v>1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32"/>
      <c r="W124" s="22" t="str">
        <f t="shared" si="3"/>
        <v>,(120,4,39,4750,1,"11","2024-08-02",1,1)</v>
      </c>
    </row>
    <row r="125" spans="2:23" x14ac:dyDescent="0.4">
      <c r="B125" s="33">
        <v>121</v>
      </c>
      <c r="C125" s="33">
        <v>121</v>
      </c>
      <c r="D125" s="33">
        <v>18</v>
      </c>
      <c r="E125" s="33">
        <v>118</v>
      </c>
      <c r="F125" s="33">
        <v>4350</v>
      </c>
      <c r="G125" s="33">
        <v>5</v>
      </c>
      <c r="H125" s="29" t="s">
        <v>887</v>
      </c>
      <c r="I125" s="33" t="s">
        <v>942</v>
      </c>
      <c r="J125" s="31">
        <v>1</v>
      </c>
      <c r="K125" s="31">
        <v>1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32"/>
      <c r="W125" s="22" t="str">
        <f t="shared" si="3"/>
        <v>,(121,18,118,4350,5,"11","2024-08-02",1,1)</v>
      </c>
    </row>
    <row r="126" spans="2:23" x14ac:dyDescent="0.4">
      <c r="B126" s="33">
        <v>122</v>
      </c>
      <c r="C126" s="33">
        <v>122</v>
      </c>
      <c r="D126" s="33">
        <v>18</v>
      </c>
      <c r="E126" s="33">
        <v>97</v>
      </c>
      <c r="F126" s="33">
        <v>500</v>
      </c>
      <c r="G126" s="33">
        <v>50</v>
      </c>
      <c r="H126" s="29" t="s">
        <v>887</v>
      </c>
      <c r="I126" s="33" t="s">
        <v>942</v>
      </c>
      <c r="J126" s="31">
        <v>1</v>
      </c>
      <c r="K126" s="31">
        <v>1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32"/>
      <c r="W126" s="22" t="str">
        <f t="shared" si="3"/>
        <v>,(122,18,97,500,50,"11","2024-08-02",1,1)</v>
      </c>
    </row>
    <row r="127" spans="2:23" x14ac:dyDescent="0.4">
      <c r="B127" s="33">
        <v>123</v>
      </c>
      <c r="C127" s="33">
        <v>123</v>
      </c>
      <c r="D127" s="33">
        <v>4</v>
      </c>
      <c r="E127" s="33">
        <v>24</v>
      </c>
      <c r="F127" s="33">
        <v>2550</v>
      </c>
      <c r="G127" s="33">
        <v>1</v>
      </c>
      <c r="H127" s="29" t="s">
        <v>887</v>
      </c>
      <c r="I127" s="33" t="s">
        <v>942</v>
      </c>
      <c r="J127" s="31">
        <v>1</v>
      </c>
      <c r="K127" s="31">
        <v>1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32"/>
      <c r="W127" s="22" t="str">
        <f t="shared" si="3"/>
        <v>,(123,4,24,2550,1,"11","2024-08-02",1,1)</v>
      </c>
    </row>
    <row r="128" spans="2:23" x14ac:dyDescent="0.4">
      <c r="B128" s="33">
        <v>124</v>
      </c>
      <c r="C128" s="33">
        <v>124</v>
      </c>
      <c r="D128" s="33">
        <v>4</v>
      </c>
      <c r="E128" s="33">
        <v>25</v>
      </c>
      <c r="F128" s="33">
        <v>2550</v>
      </c>
      <c r="G128" s="33">
        <v>1</v>
      </c>
      <c r="H128" s="29" t="s">
        <v>887</v>
      </c>
      <c r="I128" s="33" t="s">
        <v>942</v>
      </c>
      <c r="J128" s="31">
        <v>1</v>
      </c>
      <c r="K128" s="31">
        <v>1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32"/>
      <c r="W128" s="22" t="str">
        <f t="shared" si="3"/>
        <v>,(124,4,25,2550,1,"11","2024-08-02",1,1)</v>
      </c>
    </row>
    <row r="129" spans="2:23" x14ac:dyDescent="0.4">
      <c r="B129" s="33">
        <v>125</v>
      </c>
      <c r="C129" s="33">
        <v>125</v>
      </c>
      <c r="D129" s="33">
        <v>4</v>
      </c>
      <c r="E129" s="33">
        <v>26</v>
      </c>
      <c r="F129" s="33">
        <v>2550</v>
      </c>
      <c r="G129" s="33">
        <v>1</v>
      </c>
      <c r="H129" s="29" t="s">
        <v>887</v>
      </c>
      <c r="I129" s="33" t="s">
        <v>942</v>
      </c>
      <c r="J129" s="31">
        <v>1</v>
      </c>
      <c r="K129" s="31">
        <v>1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32"/>
      <c r="W129" s="22" t="str">
        <f t="shared" si="3"/>
        <v>,(125,4,26,2550,1,"11","2024-08-02",1,1)</v>
      </c>
    </row>
    <row r="130" spans="2:23" x14ac:dyDescent="0.4">
      <c r="B130" s="33">
        <v>126</v>
      </c>
      <c r="C130" s="33">
        <v>126</v>
      </c>
      <c r="D130" s="33">
        <v>8</v>
      </c>
      <c r="E130" s="33">
        <v>15</v>
      </c>
      <c r="F130" s="33">
        <v>680</v>
      </c>
      <c r="G130" s="33">
        <v>20</v>
      </c>
      <c r="H130" s="29" t="s">
        <v>887</v>
      </c>
      <c r="I130" s="33" t="s">
        <v>942</v>
      </c>
      <c r="J130" s="31">
        <v>1</v>
      </c>
      <c r="K130" s="31">
        <v>1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32"/>
      <c r="W130" s="22" t="str">
        <f t="shared" si="3"/>
        <v>,(126,8,15,680,20,"11","2024-08-02",1,1)</v>
      </c>
    </row>
    <row r="131" spans="2:23" x14ac:dyDescent="0.4">
      <c r="B131" s="33">
        <v>127</v>
      </c>
      <c r="C131" s="33">
        <v>127</v>
      </c>
      <c r="D131" s="33">
        <v>9</v>
      </c>
      <c r="E131" s="33">
        <v>15</v>
      </c>
      <c r="F131" s="33">
        <v>680</v>
      </c>
      <c r="G131" s="33">
        <v>20</v>
      </c>
      <c r="H131" s="29" t="s">
        <v>887</v>
      </c>
      <c r="I131" s="33" t="s">
        <v>942</v>
      </c>
      <c r="J131" s="31">
        <v>1</v>
      </c>
      <c r="K131" s="31">
        <v>1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32"/>
      <c r="W131" s="22" t="str">
        <f t="shared" si="3"/>
        <v>,(127,9,15,680,20,"11","2024-08-02",1,1)</v>
      </c>
    </row>
    <row r="132" spans="2:23" x14ac:dyDescent="0.4">
      <c r="B132" s="33">
        <v>128</v>
      </c>
      <c r="C132" s="33">
        <v>128</v>
      </c>
      <c r="D132" s="33">
        <v>18</v>
      </c>
      <c r="E132" s="33">
        <v>147</v>
      </c>
      <c r="F132" s="33">
        <v>3590</v>
      </c>
      <c r="G132" s="33">
        <v>1</v>
      </c>
      <c r="H132" s="29" t="s">
        <v>887</v>
      </c>
      <c r="I132" s="33" t="s">
        <v>944</v>
      </c>
      <c r="J132" s="31">
        <v>1</v>
      </c>
      <c r="K132" s="31">
        <v>1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32"/>
      <c r="W132" s="22" t="str">
        <f t="shared" si="3"/>
        <v>,(128,18,147,3590,1,"11","2024-08-09",1,1)</v>
      </c>
    </row>
    <row r="133" spans="2:23" x14ac:dyDescent="0.4">
      <c r="B133" s="33">
        <v>129</v>
      </c>
      <c r="C133" s="33">
        <v>129</v>
      </c>
      <c r="D133" s="33">
        <v>14</v>
      </c>
      <c r="E133" s="33">
        <v>40</v>
      </c>
      <c r="F133" s="33">
        <v>8800</v>
      </c>
      <c r="G133" s="33">
        <v>1</v>
      </c>
      <c r="H133" s="29" t="s">
        <v>887</v>
      </c>
      <c r="I133" s="33" t="s">
        <v>944</v>
      </c>
      <c r="J133" s="31">
        <v>1</v>
      </c>
      <c r="K133" s="31">
        <v>1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32"/>
      <c r="W133" s="22" t="str">
        <f t="shared" ref="W133:W164" si="4">_xlfn.CONCAT(IF(B133=1,"",","),"(",_xlfn.TEXTJOIN(",",TRUE,C133:V133),")")</f>
        <v>,(129,14,40,8800,1,"11","2024-08-09",1,1)</v>
      </c>
    </row>
    <row r="134" spans="2:23" x14ac:dyDescent="0.4">
      <c r="B134" s="33">
        <v>130</v>
      </c>
      <c r="C134" s="33">
        <v>130</v>
      </c>
      <c r="D134" s="33">
        <v>14</v>
      </c>
      <c r="E134" s="33">
        <v>37</v>
      </c>
      <c r="F134" s="33">
        <v>480</v>
      </c>
      <c r="G134" s="33">
        <v>10</v>
      </c>
      <c r="H134" s="29" t="s">
        <v>887</v>
      </c>
      <c r="I134" s="33" t="s">
        <v>944</v>
      </c>
      <c r="J134" s="31">
        <v>1</v>
      </c>
      <c r="K134" s="31">
        <v>1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32"/>
      <c r="W134" s="22" t="str">
        <f t="shared" si="4"/>
        <v>,(130,14,37,480,10,"11","2024-08-09",1,1)</v>
      </c>
    </row>
    <row r="135" spans="2:23" x14ac:dyDescent="0.4">
      <c r="B135" s="33">
        <v>131</v>
      </c>
      <c r="C135" s="33">
        <v>131</v>
      </c>
      <c r="D135" s="33">
        <v>18</v>
      </c>
      <c r="E135" s="33">
        <v>106</v>
      </c>
      <c r="F135" s="33">
        <v>6770</v>
      </c>
      <c r="G135" s="33">
        <v>3</v>
      </c>
      <c r="H135" s="29" t="s">
        <v>887</v>
      </c>
      <c r="I135" s="33" t="s">
        <v>944</v>
      </c>
      <c r="J135" s="31">
        <v>1</v>
      </c>
      <c r="K135" s="31">
        <v>1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32"/>
      <c r="W135" s="22" t="str">
        <f t="shared" si="4"/>
        <v>,(131,18,106,6770,3,"11","2024-08-09",1,1)</v>
      </c>
    </row>
    <row r="136" spans="2:23" x14ac:dyDescent="0.4">
      <c r="B136" s="33">
        <v>132</v>
      </c>
      <c r="C136" s="33">
        <v>132</v>
      </c>
      <c r="D136" s="33">
        <v>14</v>
      </c>
      <c r="E136" s="33">
        <v>38</v>
      </c>
      <c r="F136" s="33">
        <v>700</v>
      </c>
      <c r="G136" s="33">
        <v>10</v>
      </c>
      <c r="H136" s="29" t="s">
        <v>887</v>
      </c>
      <c r="I136" s="33" t="s">
        <v>944</v>
      </c>
      <c r="J136" s="31">
        <v>1</v>
      </c>
      <c r="K136" s="31">
        <v>1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32"/>
      <c r="W136" s="22" t="str">
        <f t="shared" si="4"/>
        <v>,(132,14,38,700,10,"11","2024-08-09",1,1)</v>
      </c>
    </row>
    <row r="137" spans="2:23" x14ac:dyDescent="0.4">
      <c r="B137" s="33">
        <v>133</v>
      </c>
      <c r="C137" s="33">
        <v>133</v>
      </c>
      <c r="D137" s="33">
        <v>16</v>
      </c>
      <c r="E137" s="33">
        <v>118</v>
      </c>
      <c r="F137" s="33">
        <v>4350</v>
      </c>
      <c r="G137" s="33">
        <v>2</v>
      </c>
      <c r="H137" s="29" t="s">
        <v>887</v>
      </c>
      <c r="I137" s="33" t="s">
        <v>944</v>
      </c>
      <c r="J137" s="31">
        <v>1</v>
      </c>
      <c r="K137" s="31">
        <v>1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32"/>
      <c r="W137" s="22" t="str">
        <f t="shared" si="4"/>
        <v>,(133,16,118,4350,2,"11","2024-08-09",1,1)</v>
      </c>
    </row>
    <row r="138" spans="2:23" x14ac:dyDescent="0.4">
      <c r="B138" s="33">
        <v>134</v>
      </c>
      <c r="C138" s="33">
        <v>134</v>
      </c>
      <c r="D138" s="33">
        <v>14</v>
      </c>
      <c r="E138" s="33">
        <v>43</v>
      </c>
      <c r="F138" s="33">
        <v>7900</v>
      </c>
      <c r="G138" s="33">
        <v>1</v>
      </c>
      <c r="H138" s="29" t="s">
        <v>887</v>
      </c>
      <c r="I138" s="33" t="s">
        <v>944</v>
      </c>
      <c r="J138" s="31">
        <v>1</v>
      </c>
      <c r="K138" s="31">
        <v>1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32"/>
      <c r="W138" s="22" t="str">
        <f t="shared" si="4"/>
        <v>,(134,14,43,7900,1,"11","2024-08-09",1,1)</v>
      </c>
    </row>
    <row r="139" spans="2:23" x14ac:dyDescent="0.4">
      <c r="B139" s="33">
        <v>135</v>
      </c>
      <c r="C139" s="33">
        <v>135</v>
      </c>
      <c r="D139" s="33">
        <v>14</v>
      </c>
      <c r="E139" s="33">
        <v>13</v>
      </c>
      <c r="F139" s="33">
        <v>7130</v>
      </c>
      <c r="G139" s="33">
        <v>2</v>
      </c>
      <c r="H139" s="29" t="s">
        <v>887</v>
      </c>
      <c r="I139" s="33" t="s">
        <v>944</v>
      </c>
      <c r="J139" s="31">
        <v>1</v>
      </c>
      <c r="K139" s="31">
        <v>1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32"/>
      <c r="W139" s="22" t="str">
        <f t="shared" si="4"/>
        <v>,(135,14,13,7130,2,"11","2024-08-09",1,1)</v>
      </c>
    </row>
    <row r="140" spans="2:23" x14ac:dyDescent="0.4">
      <c r="B140" s="33">
        <v>136</v>
      </c>
      <c r="C140" s="33">
        <v>136</v>
      </c>
      <c r="D140" s="33">
        <v>14</v>
      </c>
      <c r="E140" s="33">
        <v>34</v>
      </c>
      <c r="F140" s="33">
        <v>940</v>
      </c>
      <c r="G140" s="33">
        <v>20</v>
      </c>
      <c r="H140" s="29" t="s">
        <v>887</v>
      </c>
      <c r="I140" s="33" t="s">
        <v>944</v>
      </c>
      <c r="J140" s="31">
        <v>1</v>
      </c>
      <c r="K140" s="31">
        <v>1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32"/>
      <c r="W140" s="22" t="str">
        <f t="shared" si="4"/>
        <v>,(136,14,34,940,20,"11","2024-08-09",1,1)</v>
      </c>
    </row>
    <row r="141" spans="2:23" x14ac:dyDescent="0.4">
      <c r="B141" s="33">
        <v>137</v>
      </c>
      <c r="C141" s="33">
        <v>137</v>
      </c>
      <c r="D141" s="33">
        <v>5</v>
      </c>
      <c r="E141" s="33">
        <v>15</v>
      </c>
      <c r="F141" s="33">
        <v>680</v>
      </c>
      <c r="G141" s="33">
        <v>20</v>
      </c>
      <c r="H141" s="29" t="s">
        <v>887</v>
      </c>
      <c r="I141" s="33" t="s">
        <v>944</v>
      </c>
      <c r="J141" s="31">
        <v>1</v>
      </c>
      <c r="K141" s="31">
        <v>1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32"/>
      <c r="W141" s="22" t="str">
        <f t="shared" si="4"/>
        <v>,(137,5,15,680,20,"11","2024-08-09",1,1)</v>
      </c>
    </row>
    <row r="142" spans="2:23" x14ac:dyDescent="0.4">
      <c r="B142" s="33">
        <v>138</v>
      </c>
      <c r="C142" s="33">
        <v>138</v>
      </c>
      <c r="D142" s="33">
        <v>14</v>
      </c>
      <c r="E142" s="33">
        <v>15</v>
      </c>
      <c r="F142" s="33">
        <v>680</v>
      </c>
      <c r="G142" s="33">
        <v>20</v>
      </c>
      <c r="H142" s="29" t="s">
        <v>887</v>
      </c>
      <c r="I142" s="33" t="s">
        <v>944</v>
      </c>
      <c r="J142" s="31">
        <v>1</v>
      </c>
      <c r="K142" s="31">
        <v>1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32"/>
      <c r="W142" s="22" t="str">
        <f t="shared" si="4"/>
        <v>,(138,14,15,680,20,"11","2024-08-09",1,1)</v>
      </c>
    </row>
    <row r="143" spans="2:23" x14ac:dyDescent="0.4">
      <c r="B143" s="33">
        <v>139</v>
      </c>
      <c r="C143" s="33">
        <v>139</v>
      </c>
      <c r="D143" s="33">
        <v>25</v>
      </c>
      <c r="E143" s="33">
        <v>11</v>
      </c>
      <c r="F143" s="33">
        <v>1250</v>
      </c>
      <c r="G143" s="33">
        <v>12</v>
      </c>
      <c r="H143" s="29" t="s">
        <v>887</v>
      </c>
      <c r="I143" s="33" t="s">
        <v>944</v>
      </c>
      <c r="J143" s="31">
        <v>1</v>
      </c>
      <c r="K143" s="31">
        <v>1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32"/>
      <c r="W143" s="22" t="str">
        <f t="shared" si="4"/>
        <v>,(139,25,11,1250,12,"11","2024-08-09",1,1)</v>
      </c>
    </row>
    <row r="144" spans="2:23" x14ac:dyDescent="0.4">
      <c r="B144" s="33">
        <v>140</v>
      </c>
      <c r="C144" s="33">
        <v>140</v>
      </c>
      <c r="D144" s="33">
        <v>11</v>
      </c>
      <c r="E144" s="33">
        <v>103</v>
      </c>
      <c r="F144" s="33">
        <v>14590</v>
      </c>
      <c r="G144" s="33">
        <v>1</v>
      </c>
      <c r="H144" s="29" t="s">
        <v>887</v>
      </c>
      <c r="I144" s="33" t="s">
        <v>921</v>
      </c>
      <c r="J144" s="31">
        <v>1</v>
      </c>
      <c r="K144" s="31">
        <v>1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32"/>
      <c r="W144" s="22" t="str">
        <f t="shared" si="4"/>
        <v>,(140,11,103,14590,1,"11","2024-09-06",1,1)</v>
      </c>
    </row>
    <row r="145" spans="2:23" x14ac:dyDescent="0.4">
      <c r="B145" s="33">
        <v>141</v>
      </c>
      <c r="C145" s="33">
        <v>141</v>
      </c>
      <c r="D145" s="33">
        <v>21</v>
      </c>
      <c r="E145" s="33">
        <v>37</v>
      </c>
      <c r="F145" s="33">
        <v>520</v>
      </c>
      <c r="G145" s="33">
        <v>10</v>
      </c>
      <c r="H145" s="29" t="s">
        <v>887</v>
      </c>
      <c r="I145" s="33" t="s">
        <v>921</v>
      </c>
      <c r="J145" s="31">
        <v>1</v>
      </c>
      <c r="K145" s="31">
        <v>1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32"/>
      <c r="W145" s="22" t="str">
        <f t="shared" si="4"/>
        <v>,(141,21,37,520,10,"11","2024-09-06",1,1)</v>
      </c>
    </row>
    <row r="146" spans="2:23" x14ac:dyDescent="0.4">
      <c r="B146" s="33">
        <v>142</v>
      </c>
      <c r="C146" s="33">
        <v>142</v>
      </c>
      <c r="D146" s="33">
        <v>19</v>
      </c>
      <c r="E146" s="33">
        <v>4</v>
      </c>
      <c r="F146" s="33">
        <v>8990</v>
      </c>
      <c r="G146" s="33">
        <v>1</v>
      </c>
      <c r="H146" s="29" t="s">
        <v>887</v>
      </c>
      <c r="I146" s="33" t="s">
        <v>921</v>
      </c>
      <c r="J146" s="31">
        <v>1</v>
      </c>
      <c r="K146" s="31">
        <v>1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32"/>
      <c r="W146" s="22" t="str">
        <f t="shared" si="4"/>
        <v>,(142,19,4,8990,1,"11","2024-09-06",1,1)</v>
      </c>
    </row>
    <row r="147" spans="2:23" x14ac:dyDescent="0.4">
      <c r="B147" s="33">
        <v>143</v>
      </c>
      <c r="C147" s="33">
        <v>143</v>
      </c>
      <c r="D147" s="33">
        <v>19</v>
      </c>
      <c r="E147" s="33">
        <v>39</v>
      </c>
      <c r="F147" s="33">
        <v>4750</v>
      </c>
      <c r="G147" s="33">
        <v>2</v>
      </c>
      <c r="H147" s="29" t="s">
        <v>887</v>
      </c>
      <c r="I147" s="33" t="s">
        <v>921</v>
      </c>
      <c r="J147" s="31">
        <v>1</v>
      </c>
      <c r="K147" s="31">
        <v>1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32"/>
      <c r="W147" s="22" t="str">
        <f t="shared" si="4"/>
        <v>,(143,19,39,4750,2,"11","2024-09-06",1,1)</v>
      </c>
    </row>
    <row r="148" spans="2:23" x14ac:dyDescent="0.4">
      <c r="B148" s="33">
        <v>144</v>
      </c>
      <c r="C148" s="33">
        <v>144</v>
      </c>
      <c r="D148" s="33">
        <v>14</v>
      </c>
      <c r="E148" s="33">
        <v>93</v>
      </c>
      <c r="F148" s="33">
        <v>4360</v>
      </c>
      <c r="G148" s="33">
        <v>2</v>
      </c>
      <c r="H148" s="29" t="s">
        <v>887</v>
      </c>
      <c r="I148" s="33" t="s">
        <v>921</v>
      </c>
      <c r="J148" s="31">
        <v>1</v>
      </c>
      <c r="K148" s="31">
        <v>1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32"/>
      <c r="W148" s="22" t="str">
        <f t="shared" si="4"/>
        <v>,(144,14,93,4360,2,"11","2024-09-06",1,1)</v>
      </c>
    </row>
    <row r="149" spans="2:23" x14ac:dyDescent="0.4">
      <c r="B149" s="33">
        <v>145</v>
      </c>
      <c r="C149" s="33">
        <v>145</v>
      </c>
      <c r="D149" s="33">
        <v>18</v>
      </c>
      <c r="E149" s="33">
        <v>174</v>
      </c>
      <c r="F149" s="33">
        <v>5700</v>
      </c>
      <c r="G149" s="33">
        <v>1</v>
      </c>
      <c r="H149" s="29" t="s">
        <v>887</v>
      </c>
      <c r="I149" s="33" t="s">
        <v>921</v>
      </c>
      <c r="J149" s="31">
        <v>1</v>
      </c>
      <c r="K149" s="31">
        <v>1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32"/>
      <c r="W149" s="22" t="str">
        <f t="shared" si="4"/>
        <v>,(145,18,174,5700,1,"11","2024-09-06",1,1)</v>
      </c>
    </row>
    <row r="150" spans="2:23" x14ac:dyDescent="0.4">
      <c r="B150" s="33">
        <v>146</v>
      </c>
      <c r="C150" s="33">
        <v>146</v>
      </c>
      <c r="D150" s="33">
        <v>21</v>
      </c>
      <c r="E150" s="33">
        <v>101</v>
      </c>
      <c r="F150" s="33">
        <v>5700</v>
      </c>
      <c r="G150" s="33">
        <v>3</v>
      </c>
      <c r="H150" s="29" t="s">
        <v>887</v>
      </c>
      <c r="I150" s="33" t="s">
        <v>921</v>
      </c>
      <c r="J150" s="31">
        <v>1</v>
      </c>
      <c r="K150" s="31">
        <v>1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32"/>
      <c r="W150" s="22" t="str">
        <f t="shared" si="4"/>
        <v>,(146,21,101,5700,3,"11","2024-09-06",1,1)</v>
      </c>
    </row>
    <row r="151" spans="2:23" x14ac:dyDescent="0.4">
      <c r="B151" s="33">
        <v>147</v>
      </c>
      <c r="C151" s="33">
        <v>147</v>
      </c>
      <c r="D151" s="33">
        <v>21</v>
      </c>
      <c r="E151" s="33">
        <v>52</v>
      </c>
      <c r="F151" s="33">
        <v>11800</v>
      </c>
      <c r="G151" s="33">
        <v>2</v>
      </c>
      <c r="H151" s="29" t="s">
        <v>887</v>
      </c>
      <c r="I151" s="33" t="s">
        <v>921</v>
      </c>
      <c r="J151" s="31">
        <v>1</v>
      </c>
      <c r="K151" s="31">
        <v>1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32"/>
      <c r="W151" s="22" t="str">
        <f t="shared" si="4"/>
        <v>,(147,21,52,11800,2,"11","2024-09-06",1,1)</v>
      </c>
    </row>
    <row r="152" spans="2:23" x14ac:dyDescent="0.4">
      <c r="B152" s="33">
        <v>148</v>
      </c>
      <c r="C152" s="33">
        <v>148</v>
      </c>
      <c r="D152" s="33">
        <v>12</v>
      </c>
      <c r="E152" s="33">
        <v>115</v>
      </c>
      <c r="F152" s="33">
        <v>3750</v>
      </c>
      <c r="G152" s="33">
        <v>3</v>
      </c>
      <c r="H152" s="29" t="s">
        <v>887</v>
      </c>
      <c r="I152" s="33" t="s">
        <v>921</v>
      </c>
      <c r="J152" s="31">
        <v>1</v>
      </c>
      <c r="K152" s="31">
        <v>1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32"/>
      <c r="W152" s="22" t="str">
        <f t="shared" si="4"/>
        <v>,(148,12,115,3750,3,"11","2024-09-06",1,1)</v>
      </c>
    </row>
    <row r="153" spans="2:23" x14ac:dyDescent="0.4">
      <c r="B153" s="33">
        <v>149</v>
      </c>
      <c r="C153" s="33">
        <v>149</v>
      </c>
      <c r="D153" s="33">
        <v>4</v>
      </c>
      <c r="E153" s="33">
        <v>57</v>
      </c>
      <c r="F153" s="33">
        <v>7150</v>
      </c>
      <c r="G153" s="33">
        <v>1</v>
      </c>
      <c r="H153" s="29" t="s">
        <v>887</v>
      </c>
      <c r="I153" s="33" t="s">
        <v>921</v>
      </c>
      <c r="J153" s="31">
        <v>1</v>
      </c>
      <c r="K153" s="31">
        <v>1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32"/>
      <c r="W153" s="22" t="str">
        <f t="shared" si="4"/>
        <v>,(149,4,57,7150,1,"11","2024-09-06",1,1)</v>
      </c>
    </row>
    <row r="154" spans="2:23" x14ac:dyDescent="0.4">
      <c r="B154" s="33">
        <v>150</v>
      </c>
      <c r="C154" s="33">
        <v>150</v>
      </c>
      <c r="D154" s="33">
        <v>12</v>
      </c>
      <c r="E154" s="33">
        <v>78</v>
      </c>
      <c r="F154" s="33">
        <v>5270</v>
      </c>
      <c r="G154" s="33">
        <v>3</v>
      </c>
      <c r="H154" s="29" t="s">
        <v>887</v>
      </c>
      <c r="I154" s="33" t="s">
        <v>921</v>
      </c>
      <c r="J154" s="31">
        <v>1</v>
      </c>
      <c r="K154" s="31">
        <v>1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32"/>
      <c r="W154" s="22" t="str">
        <f t="shared" si="4"/>
        <v>,(150,12,78,5270,3,"11","2024-09-06",1,1)</v>
      </c>
    </row>
    <row r="155" spans="2:23" x14ac:dyDescent="0.4">
      <c r="B155" s="33">
        <v>151</v>
      </c>
      <c r="C155" s="33">
        <v>151</v>
      </c>
      <c r="D155" s="33">
        <v>19</v>
      </c>
      <c r="E155" s="33">
        <v>1</v>
      </c>
      <c r="F155" s="33">
        <v>2970</v>
      </c>
      <c r="G155" s="33">
        <v>1</v>
      </c>
      <c r="H155" s="29" t="s">
        <v>887</v>
      </c>
      <c r="I155" s="33" t="s">
        <v>921</v>
      </c>
      <c r="J155" s="31">
        <v>1</v>
      </c>
      <c r="K155" s="31">
        <v>1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32"/>
      <c r="W155" s="22" t="str">
        <f t="shared" si="4"/>
        <v>,(151,19,1,2970,1,"11","2024-09-06",1,1)</v>
      </c>
    </row>
    <row r="156" spans="2:23" x14ac:dyDescent="0.4">
      <c r="B156" s="33">
        <v>152</v>
      </c>
      <c r="C156" s="33">
        <v>152</v>
      </c>
      <c r="D156" s="33">
        <v>2</v>
      </c>
      <c r="E156" s="33">
        <v>35</v>
      </c>
      <c r="F156" s="33">
        <v>1390</v>
      </c>
      <c r="G156" s="33">
        <v>20</v>
      </c>
      <c r="H156" s="29" t="s">
        <v>887</v>
      </c>
      <c r="I156" s="33" t="s">
        <v>921</v>
      </c>
      <c r="J156" s="31">
        <v>1</v>
      </c>
      <c r="K156" s="31">
        <v>1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32"/>
      <c r="W156" s="22" t="str">
        <f t="shared" si="4"/>
        <v>,(152,2,35,1390,20,"11","2024-09-06",1,1)</v>
      </c>
    </row>
    <row r="157" spans="2:23" x14ac:dyDescent="0.4">
      <c r="B157" s="33">
        <v>153</v>
      </c>
      <c r="C157" s="33">
        <v>153</v>
      </c>
      <c r="D157" s="33">
        <v>2</v>
      </c>
      <c r="E157" s="33">
        <v>36</v>
      </c>
      <c r="F157" s="33">
        <v>1080</v>
      </c>
      <c r="G157" s="33">
        <v>20</v>
      </c>
      <c r="H157" s="29" t="s">
        <v>887</v>
      </c>
      <c r="I157" s="33" t="s">
        <v>921</v>
      </c>
      <c r="J157" s="31">
        <v>1</v>
      </c>
      <c r="K157" s="31">
        <v>1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32"/>
      <c r="W157" s="22" t="str">
        <f t="shared" si="4"/>
        <v>,(153,2,36,1080,20,"11","2024-09-06",1,1)</v>
      </c>
    </row>
    <row r="158" spans="2:23" x14ac:dyDescent="0.4">
      <c r="B158" s="33">
        <v>154</v>
      </c>
      <c r="C158" s="33">
        <v>154</v>
      </c>
      <c r="D158" s="33">
        <v>9</v>
      </c>
      <c r="E158" s="33">
        <v>15</v>
      </c>
      <c r="F158" s="33">
        <v>720</v>
      </c>
      <c r="G158" s="33">
        <v>20</v>
      </c>
      <c r="H158" s="29" t="s">
        <v>887</v>
      </c>
      <c r="I158" s="33" t="s">
        <v>921</v>
      </c>
      <c r="J158" s="31">
        <v>1</v>
      </c>
      <c r="K158" s="31">
        <v>1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32"/>
      <c r="W158" s="22" t="str">
        <f t="shared" si="4"/>
        <v>,(154,9,15,720,20,"11","2024-09-06",1,1)</v>
      </c>
    </row>
    <row r="159" spans="2:23" x14ac:dyDescent="0.4">
      <c r="B159" s="33">
        <v>155</v>
      </c>
      <c r="C159" s="33">
        <v>155</v>
      </c>
      <c r="D159" s="33">
        <v>14</v>
      </c>
      <c r="E159" s="33">
        <v>15</v>
      </c>
      <c r="F159" s="33">
        <v>720</v>
      </c>
      <c r="G159" s="33">
        <v>40</v>
      </c>
      <c r="H159" s="29" t="s">
        <v>887</v>
      </c>
      <c r="I159" s="33" t="s">
        <v>921</v>
      </c>
      <c r="J159" s="31">
        <v>1</v>
      </c>
      <c r="K159" s="31">
        <v>1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32"/>
      <c r="W159" s="22" t="str">
        <f t="shared" si="4"/>
        <v>,(155,14,15,720,40,"11","2024-09-06",1,1)</v>
      </c>
    </row>
    <row r="160" spans="2:23" x14ac:dyDescent="0.4">
      <c r="B160" s="33">
        <v>156</v>
      </c>
      <c r="C160" s="33">
        <v>156</v>
      </c>
      <c r="D160" s="33">
        <v>12</v>
      </c>
      <c r="E160" s="33">
        <v>141</v>
      </c>
      <c r="F160" s="33">
        <v>500</v>
      </c>
      <c r="G160" s="33">
        <v>20</v>
      </c>
      <c r="H160" s="29" t="s">
        <v>887</v>
      </c>
      <c r="I160" s="33" t="s">
        <v>921</v>
      </c>
      <c r="J160" s="31">
        <v>1</v>
      </c>
      <c r="K160" s="31">
        <v>1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32"/>
      <c r="W160" s="22" t="str">
        <f t="shared" si="4"/>
        <v>,(156,12,141,500,20,"11","2024-09-06",1,1)</v>
      </c>
    </row>
    <row r="161" spans="2:23" x14ac:dyDescent="0.4">
      <c r="B161" s="33">
        <v>157</v>
      </c>
      <c r="C161" s="33">
        <v>157</v>
      </c>
      <c r="D161" s="33">
        <v>18</v>
      </c>
      <c r="E161" s="33">
        <v>172</v>
      </c>
      <c r="F161" s="33">
        <v>9240</v>
      </c>
      <c r="G161" s="33">
        <v>3</v>
      </c>
      <c r="H161" s="29" t="s">
        <v>887</v>
      </c>
      <c r="I161" s="33" t="s">
        <v>921</v>
      </c>
      <c r="J161" s="31">
        <v>1</v>
      </c>
      <c r="K161" s="31">
        <v>1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32"/>
      <c r="W161" s="22" t="str">
        <f t="shared" si="4"/>
        <v>,(157,18,172,9240,3,"11","2024-09-06",1,1)</v>
      </c>
    </row>
    <row r="162" spans="2:23" x14ac:dyDescent="0.4">
      <c r="B162" s="33">
        <v>158</v>
      </c>
      <c r="C162" s="33">
        <v>158</v>
      </c>
      <c r="D162" s="33">
        <v>18</v>
      </c>
      <c r="E162" s="33">
        <v>79</v>
      </c>
      <c r="F162" s="33">
        <v>3890</v>
      </c>
      <c r="G162" s="33">
        <v>1</v>
      </c>
      <c r="H162" s="29" t="s">
        <v>887</v>
      </c>
      <c r="I162" s="33" t="s">
        <v>921</v>
      </c>
      <c r="J162" s="31">
        <v>1</v>
      </c>
      <c r="K162" s="31">
        <v>1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32"/>
      <c r="W162" s="22" t="str">
        <f t="shared" si="4"/>
        <v>,(158,18,79,3890,1,"11","2024-09-06",1,1)</v>
      </c>
    </row>
    <row r="163" spans="2:23" x14ac:dyDescent="0.4">
      <c r="B163" s="33">
        <v>159</v>
      </c>
      <c r="C163" s="33">
        <v>159</v>
      </c>
      <c r="D163" s="33">
        <v>14</v>
      </c>
      <c r="E163" s="33">
        <v>18</v>
      </c>
      <c r="F163" s="33">
        <v>620</v>
      </c>
      <c r="G163" s="33">
        <v>36</v>
      </c>
      <c r="H163" s="29" t="s">
        <v>887</v>
      </c>
      <c r="I163" s="33" t="s">
        <v>921</v>
      </c>
      <c r="J163" s="31">
        <v>1</v>
      </c>
      <c r="K163" s="31">
        <v>1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32"/>
      <c r="W163" s="22" t="str">
        <f t="shared" si="4"/>
        <v>,(159,14,18,620,36,"11","2024-09-06",1,1)</v>
      </c>
    </row>
    <row r="164" spans="2:23" x14ac:dyDescent="0.4">
      <c r="B164" s="33">
        <v>160</v>
      </c>
      <c r="C164" s="33">
        <v>160</v>
      </c>
      <c r="D164" s="33">
        <v>13</v>
      </c>
      <c r="E164" s="33">
        <v>46</v>
      </c>
      <c r="F164" s="33">
        <v>38930</v>
      </c>
      <c r="G164" s="33">
        <v>1</v>
      </c>
      <c r="H164" s="29" t="s">
        <v>887</v>
      </c>
      <c r="I164" s="33" t="s">
        <v>920</v>
      </c>
      <c r="J164" s="31">
        <v>1</v>
      </c>
      <c r="K164" s="31">
        <v>1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32"/>
      <c r="W164" s="22" t="str">
        <f t="shared" si="4"/>
        <v>,(160,13,46,38930,1,"11","2024-10-11",1,1)</v>
      </c>
    </row>
    <row r="165" spans="2:23" x14ac:dyDescent="0.4">
      <c r="B165" s="33">
        <v>161</v>
      </c>
      <c r="C165" s="33">
        <v>161</v>
      </c>
      <c r="D165" s="33">
        <v>13</v>
      </c>
      <c r="E165" s="33">
        <v>106</v>
      </c>
      <c r="F165" s="33">
        <v>6770</v>
      </c>
      <c r="G165" s="33">
        <v>2</v>
      </c>
      <c r="H165" s="29" t="s">
        <v>887</v>
      </c>
      <c r="I165" s="33" t="s">
        <v>920</v>
      </c>
      <c r="J165" s="31">
        <v>1</v>
      </c>
      <c r="K165" s="31">
        <v>1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32"/>
      <c r="W165" s="22" t="str">
        <f t="shared" ref="W165:W196" si="5">_xlfn.CONCAT(IF(B165=1,"",","),"(",_xlfn.TEXTJOIN(",",TRUE,C165:V165),")")</f>
        <v>,(161,13,106,6770,2,"11","2024-10-11",1,1)</v>
      </c>
    </row>
    <row r="166" spans="2:23" x14ac:dyDescent="0.4">
      <c r="B166" s="33">
        <v>162</v>
      </c>
      <c r="C166" s="33">
        <v>162</v>
      </c>
      <c r="D166" s="33">
        <v>13</v>
      </c>
      <c r="E166" s="33">
        <v>104</v>
      </c>
      <c r="F166" s="33">
        <v>10080</v>
      </c>
      <c r="G166" s="33">
        <v>2</v>
      </c>
      <c r="H166" s="29" t="s">
        <v>887</v>
      </c>
      <c r="I166" s="33" t="s">
        <v>920</v>
      </c>
      <c r="J166" s="31">
        <v>1</v>
      </c>
      <c r="K166" s="31">
        <v>1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32"/>
      <c r="W166" s="22" t="str">
        <f t="shared" si="5"/>
        <v>,(162,13,104,10080,2,"11","2024-10-11",1,1)</v>
      </c>
    </row>
    <row r="167" spans="2:23" x14ac:dyDescent="0.4">
      <c r="B167" s="33">
        <v>163</v>
      </c>
      <c r="C167" s="33">
        <v>163</v>
      </c>
      <c r="D167" s="33">
        <v>7</v>
      </c>
      <c r="E167" s="33">
        <v>106</v>
      </c>
      <c r="F167" s="33">
        <v>6770</v>
      </c>
      <c r="G167" s="33">
        <v>1</v>
      </c>
      <c r="H167" s="29" t="s">
        <v>887</v>
      </c>
      <c r="I167" s="33" t="s">
        <v>920</v>
      </c>
      <c r="J167" s="31">
        <v>1</v>
      </c>
      <c r="K167" s="31">
        <v>1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32"/>
      <c r="W167" s="22" t="str">
        <f t="shared" si="5"/>
        <v>,(163,7,106,6770,1,"11","2024-10-11",1,1)</v>
      </c>
    </row>
    <row r="168" spans="2:23" x14ac:dyDescent="0.4">
      <c r="B168" s="33">
        <v>164</v>
      </c>
      <c r="C168" s="33">
        <v>164</v>
      </c>
      <c r="D168" s="33">
        <v>18</v>
      </c>
      <c r="E168" s="33">
        <v>106</v>
      </c>
      <c r="F168" s="33">
        <v>6770</v>
      </c>
      <c r="G168" s="33">
        <v>2</v>
      </c>
      <c r="H168" s="29" t="s">
        <v>887</v>
      </c>
      <c r="I168" s="33" t="s">
        <v>920</v>
      </c>
      <c r="J168" s="31">
        <v>1</v>
      </c>
      <c r="K168" s="31">
        <v>1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32"/>
      <c r="W168" s="22" t="str">
        <f t="shared" si="5"/>
        <v>,(164,18,106,6770,2,"11","2024-10-11",1,1)</v>
      </c>
    </row>
    <row r="169" spans="2:23" x14ac:dyDescent="0.4">
      <c r="B169" s="33">
        <v>165</v>
      </c>
      <c r="C169" s="33">
        <v>165</v>
      </c>
      <c r="D169" s="33">
        <v>11</v>
      </c>
      <c r="E169" s="33">
        <v>153</v>
      </c>
      <c r="F169" s="33">
        <v>2400</v>
      </c>
      <c r="G169" s="33">
        <v>1</v>
      </c>
      <c r="H169" s="29" t="s">
        <v>887</v>
      </c>
      <c r="I169" s="33" t="s">
        <v>920</v>
      </c>
      <c r="J169" s="31">
        <v>1</v>
      </c>
      <c r="K169" s="31">
        <v>1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32"/>
      <c r="W169" s="22" t="str">
        <f t="shared" si="5"/>
        <v>,(165,11,153,2400,1,"11","2024-10-11",1,1)</v>
      </c>
    </row>
    <row r="170" spans="2:23" x14ac:dyDescent="0.4">
      <c r="B170" s="33">
        <v>166</v>
      </c>
      <c r="C170" s="33">
        <v>166</v>
      </c>
      <c r="D170" s="33">
        <v>7</v>
      </c>
      <c r="E170" s="33">
        <v>109</v>
      </c>
      <c r="F170" s="33">
        <v>9880</v>
      </c>
      <c r="G170" s="33">
        <v>1</v>
      </c>
      <c r="H170" s="29" t="s">
        <v>887</v>
      </c>
      <c r="I170" s="33" t="s">
        <v>920</v>
      </c>
      <c r="J170" s="31">
        <v>1</v>
      </c>
      <c r="K170" s="31">
        <v>1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32"/>
      <c r="W170" s="22" t="str">
        <f t="shared" si="5"/>
        <v>,(166,7,109,9880,1,"11","2024-10-11",1,1)</v>
      </c>
    </row>
    <row r="171" spans="2:23" x14ac:dyDescent="0.4">
      <c r="B171" s="33">
        <v>167</v>
      </c>
      <c r="C171" s="33">
        <v>167</v>
      </c>
      <c r="D171" s="33">
        <v>18</v>
      </c>
      <c r="E171" s="33">
        <v>174</v>
      </c>
      <c r="F171" s="33">
        <v>5700</v>
      </c>
      <c r="G171" s="33">
        <v>3</v>
      </c>
      <c r="H171" s="29" t="s">
        <v>887</v>
      </c>
      <c r="I171" s="33" t="s">
        <v>920</v>
      </c>
      <c r="J171" s="31">
        <v>1</v>
      </c>
      <c r="K171" s="31">
        <v>1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32"/>
      <c r="W171" s="22" t="str">
        <f t="shared" si="5"/>
        <v>,(167,18,174,5700,3,"11","2024-10-11",1,1)</v>
      </c>
    </row>
    <row r="172" spans="2:23" x14ac:dyDescent="0.4">
      <c r="B172" s="33">
        <v>168</v>
      </c>
      <c r="C172" s="33">
        <v>168</v>
      </c>
      <c r="D172" s="33">
        <v>12</v>
      </c>
      <c r="E172" s="33">
        <v>53</v>
      </c>
      <c r="F172" s="33">
        <v>800</v>
      </c>
      <c r="G172" s="33">
        <v>10</v>
      </c>
      <c r="H172" s="29" t="s">
        <v>887</v>
      </c>
      <c r="I172" s="33" t="s">
        <v>920</v>
      </c>
      <c r="J172" s="31">
        <v>1</v>
      </c>
      <c r="K172" s="31">
        <v>1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32"/>
      <c r="W172" s="22" t="str">
        <f t="shared" si="5"/>
        <v>,(168,12,53,800,10,"11","2024-10-11",1,1)</v>
      </c>
    </row>
    <row r="173" spans="2:23" x14ac:dyDescent="0.4">
      <c r="B173" s="33">
        <v>169</v>
      </c>
      <c r="C173" s="33">
        <v>169</v>
      </c>
      <c r="D173" s="33">
        <v>12</v>
      </c>
      <c r="E173" s="33">
        <v>64</v>
      </c>
      <c r="F173" s="33">
        <v>8990</v>
      </c>
      <c r="G173" s="33">
        <v>1</v>
      </c>
      <c r="H173" s="29" t="s">
        <v>887</v>
      </c>
      <c r="I173" s="33" t="s">
        <v>920</v>
      </c>
      <c r="J173" s="31">
        <v>1</v>
      </c>
      <c r="K173" s="31">
        <v>1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32"/>
      <c r="W173" s="22" t="str">
        <f t="shared" si="5"/>
        <v>,(169,12,64,8990,1,"11","2024-10-11",1,1)</v>
      </c>
    </row>
    <row r="174" spans="2:23" x14ac:dyDescent="0.4">
      <c r="B174" s="33">
        <v>170</v>
      </c>
      <c r="C174" s="33">
        <v>170</v>
      </c>
      <c r="D174" s="33">
        <v>12</v>
      </c>
      <c r="E174" s="33">
        <v>65</v>
      </c>
      <c r="F174" s="33">
        <v>4480</v>
      </c>
      <c r="G174" s="33">
        <v>2</v>
      </c>
      <c r="H174" s="29" t="s">
        <v>887</v>
      </c>
      <c r="I174" s="33" t="s">
        <v>920</v>
      </c>
      <c r="J174" s="31">
        <v>1</v>
      </c>
      <c r="K174" s="31">
        <v>1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32"/>
      <c r="W174" s="22" t="str">
        <f t="shared" si="5"/>
        <v>,(170,12,65,4480,2,"11","2024-10-11",1,1)</v>
      </c>
    </row>
    <row r="175" spans="2:23" x14ac:dyDescent="0.4">
      <c r="B175" s="33">
        <v>171</v>
      </c>
      <c r="C175" s="33">
        <v>171</v>
      </c>
      <c r="D175" s="33">
        <v>12</v>
      </c>
      <c r="E175" s="33">
        <v>45</v>
      </c>
      <c r="F175" s="33">
        <v>14090</v>
      </c>
      <c r="G175" s="33">
        <v>1</v>
      </c>
      <c r="H175" s="29" t="s">
        <v>887</v>
      </c>
      <c r="I175" s="33" t="s">
        <v>920</v>
      </c>
      <c r="J175" s="31">
        <v>1</v>
      </c>
      <c r="K175" s="31">
        <v>1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32"/>
      <c r="W175" s="22" t="str">
        <f t="shared" si="5"/>
        <v>,(171,12,45,14090,1,"11","2024-10-11",1,1)</v>
      </c>
    </row>
    <row r="176" spans="2:23" x14ac:dyDescent="0.4">
      <c r="B176" s="33">
        <v>172</v>
      </c>
      <c r="C176" s="33">
        <v>172</v>
      </c>
      <c r="D176" s="33">
        <v>12</v>
      </c>
      <c r="E176" s="33">
        <v>77</v>
      </c>
      <c r="F176" s="33">
        <v>6170</v>
      </c>
      <c r="G176" s="33">
        <v>2</v>
      </c>
      <c r="H176" s="29" t="s">
        <v>887</v>
      </c>
      <c r="I176" s="33" t="s">
        <v>920</v>
      </c>
      <c r="J176" s="31">
        <v>1</v>
      </c>
      <c r="K176" s="31">
        <v>1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32"/>
      <c r="W176" s="22" t="str">
        <f t="shared" si="5"/>
        <v>,(172,12,77,6170,2,"11","2024-10-11",1,1)</v>
      </c>
    </row>
    <row r="177" spans="2:23" x14ac:dyDescent="0.4">
      <c r="B177" s="33">
        <v>173</v>
      </c>
      <c r="C177" s="33">
        <v>173</v>
      </c>
      <c r="D177" s="33">
        <v>2</v>
      </c>
      <c r="E177" s="33">
        <v>35</v>
      </c>
      <c r="F177" s="33">
        <v>1390</v>
      </c>
      <c r="G177" s="33">
        <v>2</v>
      </c>
      <c r="H177" s="29" t="s">
        <v>887</v>
      </c>
      <c r="I177" s="33" t="s">
        <v>920</v>
      </c>
      <c r="J177" s="31">
        <v>1</v>
      </c>
      <c r="K177" s="31">
        <v>1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32"/>
      <c r="W177" s="22" t="str">
        <f t="shared" si="5"/>
        <v>,(173,2,35,1390,2,"11","2024-10-11",1,1)</v>
      </c>
    </row>
    <row r="178" spans="2:23" x14ac:dyDescent="0.4">
      <c r="B178" s="33">
        <v>174</v>
      </c>
      <c r="C178" s="33">
        <v>174</v>
      </c>
      <c r="D178" s="33">
        <v>25</v>
      </c>
      <c r="E178" s="33">
        <v>36</v>
      </c>
      <c r="F178" s="33">
        <v>1080</v>
      </c>
      <c r="G178" s="33">
        <v>10</v>
      </c>
      <c r="H178" s="29" t="s">
        <v>887</v>
      </c>
      <c r="I178" s="33" t="s">
        <v>920</v>
      </c>
      <c r="J178" s="31">
        <v>1</v>
      </c>
      <c r="K178" s="31">
        <v>1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32"/>
      <c r="W178" s="22" t="str">
        <f t="shared" si="5"/>
        <v>,(174,25,36,1080,10,"11","2024-10-11",1,1)</v>
      </c>
    </row>
    <row r="179" spans="2:23" x14ac:dyDescent="0.4">
      <c r="B179" s="33">
        <v>175</v>
      </c>
      <c r="C179" s="33">
        <v>175</v>
      </c>
      <c r="D179" s="33">
        <v>18</v>
      </c>
      <c r="E179" s="33">
        <v>172</v>
      </c>
      <c r="F179" s="33">
        <v>9240</v>
      </c>
      <c r="G179" s="33">
        <v>3</v>
      </c>
      <c r="H179" s="29" t="s">
        <v>887</v>
      </c>
      <c r="I179" s="33" t="s">
        <v>920</v>
      </c>
      <c r="J179" s="31">
        <v>1</v>
      </c>
      <c r="K179" s="31">
        <v>1</v>
      </c>
      <c r="W179" s="22" t="str">
        <f t="shared" ref="W179:W242" si="6">_xlfn.CONCAT(IF(B179=1,"",","),"(",_xlfn.TEXTJOIN(",",TRUE,C179:V179),")")</f>
        <v>,(175,18,172,9240,3,"11","2024-10-11",1,1)</v>
      </c>
    </row>
    <row r="180" spans="2:23" x14ac:dyDescent="0.4">
      <c r="B180" s="33">
        <v>176</v>
      </c>
      <c r="C180" s="33">
        <v>176</v>
      </c>
      <c r="D180" s="33">
        <v>20</v>
      </c>
      <c r="E180" s="33">
        <v>41</v>
      </c>
      <c r="F180" s="33">
        <v>5560</v>
      </c>
      <c r="G180" s="33">
        <v>2</v>
      </c>
      <c r="H180" s="29" t="s">
        <v>887</v>
      </c>
      <c r="I180" s="33" t="s">
        <v>919</v>
      </c>
      <c r="J180" s="31">
        <v>1</v>
      </c>
      <c r="K180" s="31">
        <v>1</v>
      </c>
      <c r="W180" s="22" t="str">
        <f t="shared" si="6"/>
        <v>,(176,20,41,5560,2,"11","2024-11-08",1,1)</v>
      </c>
    </row>
    <row r="181" spans="2:23" x14ac:dyDescent="0.4">
      <c r="B181" s="33">
        <v>177</v>
      </c>
      <c r="C181" s="33">
        <v>177</v>
      </c>
      <c r="D181" s="33">
        <v>21</v>
      </c>
      <c r="E181" s="33">
        <v>37</v>
      </c>
      <c r="F181" s="33">
        <v>5200</v>
      </c>
      <c r="G181" s="33">
        <v>2</v>
      </c>
      <c r="H181" s="29" t="s">
        <v>887</v>
      </c>
      <c r="I181" s="33" t="s">
        <v>919</v>
      </c>
      <c r="J181" s="31">
        <v>1</v>
      </c>
      <c r="K181" s="31">
        <v>1</v>
      </c>
      <c r="W181" s="22" t="str">
        <f t="shared" si="6"/>
        <v>,(177,21,37,5200,2,"11","2024-11-08",1,1)</v>
      </c>
    </row>
    <row r="182" spans="2:23" x14ac:dyDescent="0.4">
      <c r="B182" s="33">
        <v>178</v>
      </c>
      <c r="C182" s="33">
        <v>178</v>
      </c>
      <c r="D182" s="33">
        <v>4</v>
      </c>
      <c r="E182" s="33">
        <v>152</v>
      </c>
      <c r="F182" s="33">
        <v>1300</v>
      </c>
      <c r="G182" s="33">
        <v>3</v>
      </c>
      <c r="H182" s="29" t="s">
        <v>887</v>
      </c>
      <c r="I182" s="33" t="s">
        <v>919</v>
      </c>
      <c r="J182" s="31">
        <v>1</v>
      </c>
      <c r="K182" s="31">
        <v>1</v>
      </c>
      <c r="W182" s="22" t="str">
        <f t="shared" si="6"/>
        <v>,(178,4,152,1300,3,"11","2024-11-08",1,1)</v>
      </c>
    </row>
    <row r="183" spans="2:23" x14ac:dyDescent="0.4">
      <c r="B183" s="33">
        <v>179</v>
      </c>
      <c r="C183" s="33">
        <v>179</v>
      </c>
      <c r="D183" s="33">
        <v>10</v>
      </c>
      <c r="E183" s="33">
        <v>152</v>
      </c>
      <c r="F183" s="33">
        <v>1300</v>
      </c>
      <c r="G183" s="33">
        <v>10</v>
      </c>
      <c r="H183" s="29" t="s">
        <v>887</v>
      </c>
      <c r="I183" s="33" t="s">
        <v>919</v>
      </c>
      <c r="J183" s="31">
        <v>1</v>
      </c>
      <c r="K183" s="31">
        <v>1</v>
      </c>
      <c r="W183" s="22" t="str">
        <f t="shared" si="6"/>
        <v>,(179,10,152,1300,10,"11","2024-11-08",1,1)</v>
      </c>
    </row>
    <row r="184" spans="2:23" x14ac:dyDescent="0.4">
      <c r="B184" s="33">
        <v>180</v>
      </c>
      <c r="C184" s="33">
        <v>180</v>
      </c>
      <c r="D184" s="33">
        <v>12</v>
      </c>
      <c r="E184" s="33">
        <v>152</v>
      </c>
      <c r="F184" s="33">
        <v>1300</v>
      </c>
      <c r="G184" s="33">
        <v>5</v>
      </c>
      <c r="H184" s="29" t="s">
        <v>887</v>
      </c>
      <c r="I184" s="33" t="s">
        <v>919</v>
      </c>
      <c r="J184" s="31">
        <v>1</v>
      </c>
      <c r="K184" s="31">
        <v>1</v>
      </c>
      <c r="W184" s="22" t="str">
        <f t="shared" si="6"/>
        <v>,(180,12,152,1300,5,"11","2024-11-08",1,1)</v>
      </c>
    </row>
    <row r="185" spans="2:23" x14ac:dyDescent="0.4">
      <c r="B185" s="33">
        <v>181</v>
      </c>
      <c r="C185" s="33">
        <v>181</v>
      </c>
      <c r="D185" s="33">
        <v>13</v>
      </c>
      <c r="E185" s="33">
        <v>54</v>
      </c>
      <c r="F185" s="33">
        <v>3500</v>
      </c>
      <c r="G185" s="33">
        <v>3</v>
      </c>
      <c r="H185" s="29" t="s">
        <v>887</v>
      </c>
      <c r="I185" s="33" t="s">
        <v>919</v>
      </c>
      <c r="J185" s="31">
        <v>1</v>
      </c>
      <c r="K185" s="31">
        <v>1</v>
      </c>
      <c r="W185" s="22" t="str">
        <f t="shared" si="6"/>
        <v>,(181,13,54,3500,3,"11","2024-11-08",1,1)</v>
      </c>
    </row>
    <row r="186" spans="2:23" x14ac:dyDescent="0.4">
      <c r="B186" s="33">
        <v>182</v>
      </c>
      <c r="C186" s="33">
        <v>182</v>
      </c>
      <c r="D186" s="33">
        <v>20</v>
      </c>
      <c r="E186" s="33">
        <v>174</v>
      </c>
      <c r="F186" s="33">
        <v>5700</v>
      </c>
      <c r="G186" s="33">
        <v>1</v>
      </c>
      <c r="H186" s="29" t="s">
        <v>887</v>
      </c>
      <c r="I186" s="33" t="s">
        <v>919</v>
      </c>
      <c r="J186" s="31">
        <v>1</v>
      </c>
      <c r="K186" s="31">
        <v>1</v>
      </c>
      <c r="W186" s="22" t="str">
        <f t="shared" si="6"/>
        <v>,(182,20,174,5700,1,"11","2024-11-08",1,1)</v>
      </c>
    </row>
    <row r="187" spans="2:23" x14ac:dyDescent="0.4">
      <c r="B187" s="33">
        <v>183</v>
      </c>
      <c r="C187" s="33">
        <v>183</v>
      </c>
      <c r="D187" s="33">
        <v>20</v>
      </c>
      <c r="E187" s="33">
        <v>101</v>
      </c>
      <c r="F187" s="33">
        <v>5700</v>
      </c>
      <c r="G187" s="33">
        <v>4</v>
      </c>
      <c r="H187" s="29" t="s">
        <v>887</v>
      </c>
      <c r="I187" s="33" t="s">
        <v>919</v>
      </c>
      <c r="J187" s="31">
        <v>1</v>
      </c>
      <c r="K187" s="31">
        <v>1</v>
      </c>
      <c r="W187" s="22" t="str">
        <f t="shared" si="6"/>
        <v>,(183,20,101,5700,4,"11","2024-11-08",1,1)</v>
      </c>
    </row>
    <row r="188" spans="2:23" x14ac:dyDescent="0.4">
      <c r="B188" s="33">
        <v>184</v>
      </c>
      <c r="C188" s="33">
        <v>184</v>
      </c>
      <c r="D188" s="33">
        <v>21</v>
      </c>
      <c r="E188" s="33">
        <v>52</v>
      </c>
      <c r="F188" s="33">
        <v>11800</v>
      </c>
      <c r="G188" s="33">
        <v>3</v>
      </c>
      <c r="H188" s="29" t="s">
        <v>887</v>
      </c>
      <c r="I188" s="33" t="s">
        <v>919</v>
      </c>
      <c r="J188" s="31">
        <v>1</v>
      </c>
      <c r="K188" s="31">
        <v>1</v>
      </c>
      <c r="W188" s="22" t="str">
        <f t="shared" si="6"/>
        <v>,(184,21,52,11800,3,"11","2024-11-08",1,1)</v>
      </c>
    </row>
    <row r="189" spans="2:23" x14ac:dyDescent="0.4">
      <c r="B189" s="33">
        <v>185</v>
      </c>
      <c r="C189" s="33">
        <v>185</v>
      </c>
      <c r="D189" s="33">
        <v>21</v>
      </c>
      <c r="E189" s="33">
        <v>155</v>
      </c>
      <c r="F189" s="33">
        <v>4020</v>
      </c>
      <c r="G189" s="33">
        <v>2</v>
      </c>
      <c r="H189" s="29" t="s">
        <v>887</v>
      </c>
      <c r="I189" s="33" t="s">
        <v>919</v>
      </c>
      <c r="J189" s="31">
        <v>1</v>
      </c>
      <c r="K189" s="31">
        <v>1</v>
      </c>
      <c r="W189" s="22" t="str">
        <f t="shared" si="6"/>
        <v>,(185,21,155,4020,2,"11","2024-11-08",1,1)</v>
      </c>
    </row>
    <row r="190" spans="2:23" x14ac:dyDescent="0.4">
      <c r="B190" s="33">
        <v>186</v>
      </c>
      <c r="C190" s="33">
        <v>186</v>
      </c>
      <c r="D190" s="33">
        <v>4</v>
      </c>
      <c r="E190" s="33">
        <v>94</v>
      </c>
      <c r="F190" s="33">
        <v>1790</v>
      </c>
      <c r="G190" s="33">
        <v>1</v>
      </c>
      <c r="H190" s="29" t="s">
        <v>887</v>
      </c>
      <c r="I190" s="33" t="s">
        <v>919</v>
      </c>
      <c r="J190" s="31">
        <v>1</v>
      </c>
      <c r="K190" s="31">
        <v>1</v>
      </c>
      <c r="W190" s="22" t="str">
        <f t="shared" si="6"/>
        <v>,(186,4,94,1790,1,"11","2024-11-08",1,1)</v>
      </c>
    </row>
    <row r="191" spans="2:23" x14ac:dyDescent="0.4">
      <c r="B191" s="33">
        <v>187</v>
      </c>
      <c r="C191" s="33">
        <v>187</v>
      </c>
      <c r="D191" s="33">
        <v>11</v>
      </c>
      <c r="E191" s="33">
        <v>38</v>
      </c>
      <c r="F191" s="33">
        <v>700</v>
      </c>
      <c r="G191" s="33">
        <v>30</v>
      </c>
      <c r="H191" s="29" t="s">
        <v>887</v>
      </c>
      <c r="I191" s="33" t="s">
        <v>919</v>
      </c>
      <c r="J191" s="31">
        <v>1</v>
      </c>
      <c r="K191" s="31">
        <v>1</v>
      </c>
      <c r="W191" s="22" t="str">
        <f t="shared" si="6"/>
        <v>,(187,11,38,700,30,"11","2024-11-08",1,1)</v>
      </c>
    </row>
    <row r="192" spans="2:23" x14ac:dyDescent="0.4">
      <c r="B192" s="33">
        <v>188</v>
      </c>
      <c r="C192" s="33">
        <v>188</v>
      </c>
      <c r="D192" s="33">
        <v>20</v>
      </c>
      <c r="E192" s="33">
        <v>38</v>
      </c>
      <c r="F192" s="33">
        <v>700</v>
      </c>
      <c r="G192" s="33">
        <v>50</v>
      </c>
      <c r="H192" s="29" t="s">
        <v>887</v>
      </c>
      <c r="I192" s="33" t="s">
        <v>919</v>
      </c>
      <c r="J192" s="31">
        <v>1</v>
      </c>
      <c r="K192" s="31">
        <v>1</v>
      </c>
      <c r="W192" s="22" t="str">
        <f t="shared" si="6"/>
        <v>,(188,20,38,700,50,"11","2024-11-08",1,1)</v>
      </c>
    </row>
    <row r="193" spans="2:23" x14ac:dyDescent="0.4">
      <c r="B193" s="33">
        <v>189</v>
      </c>
      <c r="C193" s="33">
        <v>189</v>
      </c>
      <c r="D193" s="33">
        <v>22</v>
      </c>
      <c r="E193" s="33">
        <v>122</v>
      </c>
      <c r="F193" s="33">
        <v>660</v>
      </c>
      <c r="G193" s="33">
        <v>10</v>
      </c>
      <c r="H193" s="29" t="s">
        <v>887</v>
      </c>
      <c r="I193" s="33" t="s">
        <v>919</v>
      </c>
      <c r="J193" s="31">
        <v>1</v>
      </c>
      <c r="K193" s="31">
        <v>1</v>
      </c>
      <c r="W193" s="22" t="str">
        <f t="shared" si="6"/>
        <v>,(189,22,122,660,10,"11","2024-11-08",1,1)</v>
      </c>
    </row>
    <row r="194" spans="2:23" x14ac:dyDescent="0.4">
      <c r="B194" s="33">
        <v>190</v>
      </c>
      <c r="C194" s="33">
        <v>190</v>
      </c>
      <c r="D194" s="33">
        <v>4</v>
      </c>
      <c r="E194" s="33">
        <v>125</v>
      </c>
      <c r="F194" s="33">
        <v>2640</v>
      </c>
      <c r="G194" s="33">
        <v>1</v>
      </c>
      <c r="H194" s="29" t="s">
        <v>887</v>
      </c>
      <c r="I194" s="33" t="s">
        <v>919</v>
      </c>
      <c r="J194" s="31">
        <v>1</v>
      </c>
      <c r="K194" s="31">
        <v>1</v>
      </c>
      <c r="W194" s="22" t="str">
        <f t="shared" si="6"/>
        <v>,(190,4,125,2640,1,"11","2024-11-08",1,1)</v>
      </c>
    </row>
    <row r="195" spans="2:23" x14ac:dyDescent="0.4">
      <c r="B195" s="33">
        <v>191</v>
      </c>
      <c r="C195" s="33">
        <v>191</v>
      </c>
      <c r="D195" s="33">
        <v>4</v>
      </c>
      <c r="E195" s="33">
        <v>130</v>
      </c>
      <c r="F195" s="33">
        <v>2850</v>
      </c>
      <c r="G195" s="33">
        <v>1</v>
      </c>
      <c r="H195" s="29" t="s">
        <v>887</v>
      </c>
      <c r="I195" s="33" t="s">
        <v>919</v>
      </c>
      <c r="J195" s="31">
        <v>1</v>
      </c>
      <c r="K195" s="31">
        <v>1</v>
      </c>
      <c r="W195" s="22" t="str">
        <f t="shared" si="6"/>
        <v>,(191,4,130,2850,1,"11","2024-11-08",1,1)</v>
      </c>
    </row>
    <row r="196" spans="2:23" x14ac:dyDescent="0.4">
      <c r="B196" s="33">
        <v>192</v>
      </c>
      <c r="C196" s="33">
        <v>192</v>
      </c>
      <c r="D196" s="33">
        <v>2</v>
      </c>
      <c r="E196" s="33">
        <v>35</v>
      </c>
      <c r="F196" s="33">
        <v>1390</v>
      </c>
      <c r="G196" s="33">
        <v>16</v>
      </c>
      <c r="H196" s="29" t="s">
        <v>887</v>
      </c>
      <c r="I196" s="33" t="s">
        <v>919</v>
      </c>
      <c r="J196" s="31">
        <v>1</v>
      </c>
      <c r="K196" s="31">
        <v>1</v>
      </c>
      <c r="W196" s="22" t="str">
        <f t="shared" si="6"/>
        <v>,(192,2,35,1390,16,"11","2024-11-08",1,1)</v>
      </c>
    </row>
    <row r="197" spans="2:23" x14ac:dyDescent="0.4">
      <c r="B197" s="33">
        <v>193</v>
      </c>
      <c r="C197" s="33">
        <v>193</v>
      </c>
      <c r="D197" s="33">
        <v>4</v>
      </c>
      <c r="E197" s="33">
        <v>135</v>
      </c>
      <c r="F197" s="33">
        <v>1830</v>
      </c>
      <c r="G197" s="33">
        <v>1</v>
      </c>
      <c r="H197" s="29" t="s">
        <v>887</v>
      </c>
      <c r="I197" s="33" t="s">
        <v>919</v>
      </c>
      <c r="J197" s="31">
        <v>1</v>
      </c>
      <c r="K197" s="31">
        <v>1</v>
      </c>
      <c r="W197" s="22" t="str">
        <f t="shared" si="6"/>
        <v>,(193,4,135,1830,1,"11","2024-11-08",1,1)</v>
      </c>
    </row>
    <row r="198" spans="2:23" x14ac:dyDescent="0.4">
      <c r="B198" s="33">
        <v>194</v>
      </c>
      <c r="C198" s="33">
        <v>194</v>
      </c>
      <c r="D198" s="33">
        <v>10</v>
      </c>
      <c r="E198" s="33">
        <v>173</v>
      </c>
      <c r="F198" s="33">
        <v>4210</v>
      </c>
      <c r="G198" s="33">
        <v>3</v>
      </c>
      <c r="H198" s="29" t="s">
        <v>887</v>
      </c>
      <c r="I198" s="33" t="s">
        <v>919</v>
      </c>
      <c r="J198" s="31">
        <v>1</v>
      </c>
      <c r="K198" s="31">
        <v>1</v>
      </c>
      <c r="W198" s="22" t="str">
        <f t="shared" si="6"/>
        <v>,(194,10,173,4210,3,"11","2024-11-08",1,1)</v>
      </c>
    </row>
    <row r="199" spans="2:23" x14ac:dyDescent="0.4">
      <c r="B199" s="33">
        <v>195</v>
      </c>
      <c r="C199" s="33">
        <v>195</v>
      </c>
      <c r="D199" s="33">
        <v>18</v>
      </c>
      <c r="E199" s="33">
        <v>41</v>
      </c>
      <c r="F199" s="33">
        <v>5560</v>
      </c>
      <c r="G199" s="33">
        <v>4</v>
      </c>
      <c r="H199" s="29" t="s">
        <v>887</v>
      </c>
      <c r="I199" s="33" t="s">
        <v>918</v>
      </c>
      <c r="J199" s="31">
        <v>1</v>
      </c>
      <c r="K199" s="31">
        <v>1</v>
      </c>
      <c r="W199" s="22" t="str">
        <f t="shared" si="6"/>
        <v>,(195,18,41,5560,4,"11","2024-12-16",1,1)</v>
      </c>
    </row>
    <row r="200" spans="2:23" x14ac:dyDescent="0.4">
      <c r="B200" s="33">
        <v>196</v>
      </c>
      <c r="C200" s="33">
        <v>196</v>
      </c>
      <c r="D200" s="33">
        <v>18</v>
      </c>
      <c r="E200" s="33">
        <v>118</v>
      </c>
      <c r="F200" s="33">
        <v>4350</v>
      </c>
      <c r="G200" s="33">
        <v>3</v>
      </c>
      <c r="H200" s="29" t="s">
        <v>887</v>
      </c>
      <c r="I200" s="33" t="s">
        <v>918</v>
      </c>
      <c r="J200" s="31">
        <v>1</v>
      </c>
      <c r="K200" s="31">
        <v>1</v>
      </c>
      <c r="W200" s="22" t="str">
        <f t="shared" si="6"/>
        <v>,(196,18,118,4350,3,"11","2024-12-16",1,1)</v>
      </c>
    </row>
    <row r="201" spans="2:23" x14ac:dyDescent="0.4">
      <c r="B201" s="33">
        <v>197</v>
      </c>
      <c r="C201" s="33">
        <v>197</v>
      </c>
      <c r="D201" s="33">
        <v>4</v>
      </c>
      <c r="E201" s="33">
        <v>57</v>
      </c>
      <c r="F201" s="33">
        <v>7150</v>
      </c>
      <c r="G201" s="33">
        <v>1</v>
      </c>
      <c r="H201" s="29" t="s">
        <v>887</v>
      </c>
      <c r="I201" s="33" t="s">
        <v>918</v>
      </c>
      <c r="J201" s="31">
        <v>1</v>
      </c>
      <c r="K201" s="31">
        <v>1</v>
      </c>
      <c r="W201" s="22" t="str">
        <f t="shared" si="6"/>
        <v>,(197,4,57,7150,1,"11","2024-12-16",1,1)</v>
      </c>
    </row>
    <row r="202" spans="2:23" x14ac:dyDescent="0.4">
      <c r="B202" s="33">
        <v>198</v>
      </c>
      <c r="C202" s="33">
        <v>198</v>
      </c>
      <c r="D202" s="33">
        <v>4</v>
      </c>
      <c r="E202" s="33">
        <v>58</v>
      </c>
      <c r="F202" s="33">
        <v>10890</v>
      </c>
      <c r="G202" s="33">
        <v>1</v>
      </c>
      <c r="H202" s="29" t="s">
        <v>887</v>
      </c>
      <c r="I202" s="33" t="s">
        <v>918</v>
      </c>
      <c r="J202" s="31">
        <v>1</v>
      </c>
      <c r="K202" s="31">
        <v>1</v>
      </c>
      <c r="W202" s="22" t="str">
        <f t="shared" si="6"/>
        <v>,(198,4,58,10890,1,"11","2024-12-16",1,1)</v>
      </c>
    </row>
    <row r="203" spans="2:23" x14ac:dyDescent="0.4">
      <c r="B203" s="33">
        <v>199</v>
      </c>
      <c r="C203" s="33">
        <v>199</v>
      </c>
      <c r="D203" s="33">
        <v>18</v>
      </c>
      <c r="E203" s="33">
        <v>121</v>
      </c>
      <c r="F203" s="33">
        <v>580</v>
      </c>
      <c r="G203" s="33">
        <v>10</v>
      </c>
      <c r="H203" s="29" t="s">
        <v>887</v>
      </c>
      <c r="I203" s="33" t="s">
        <v>918</v>
      </c>
      <c r="J203" s="31">
        <v>1</v>
      </c>
      <c r="K203" s="31">
        <v>1</v>
      </c>
      <c r="W203" s="22" t="str">
        <f t="shared" si="6"/>
        <v>,(199,18,121,580,10,"11","2024-12-16",1,1)</v>
      </c>
    </row>
    <row r="204" spans="2:23" x14ac:dyDescent="0.4">
      <c r="B204" s="33">
        <v>200</v>
      </c>
      <c r="C204" s="33">
        <v>200</v>
      </c>
      <c r="D204" s="33">
        <v>2</v>
      </c>
      <c r="E204" s="33">
        <v>35</v>
      </c>
      <c r="F204" s="33">
        <v>1390</v>
      </c>
      <c r="G204" s="33">
        <v>16</v>
      </c>
      <c r="H204" s="29" t="s">
        <v>887</v>
      </c>
      <c r="I204" s="33" t="s">
        <v>918</v>
      </c>
      <c r="J204" s="31">
        <v>1</v>
      </c>
      <c r="K204" s="31">
        <v>1</v>
      </c>
      <c r="W204" s="22" t="str">
        <f t="shared" si="6"/>
        <v>,(200,2,35,1390,16,"11","2024-12-16",1,1)</v>
      </c>
    </row>
    <row r="205" spans="2:23" x14ac:dyDescent="0.4">
      <c r="B205" s="33">
        <v>201</v>
      </c>
      <c r="C205" s="33">
        <v>201</v>
      </c>
      <c r="D205" s="33">
        <v>4</v>
      </c>
      <c r="E205" s="33">
        <v>15</v>
      </c>
      <c r="F205" s="33">
        <v>720</v>
      </c>
      <c r="G205" s="33">
        <v>20</v>
      </c>
      <c r="H205" s="29" t="s">
        <v>887</v>
      </c>
      <c r="I205" s="33" t="s">
        <v>918</v>
      </c>
      <c r="J205" s="31">
        <v>1</v>
      </c>
      <c r="K205" s="31">
        <v>1</v>
      </c>
      <c r="W205" s="22" t="str">
        <f t="shared" si="6"/>
        <v>,(201,4,15,720,20,"11","2024-12-16",1,1)</v>
      </c>
    </row>
    <row r="206" spans="2:23" x14ac:dyDescent="0.4">
      <c r="B206" s="33">
        <v>202</v>
      </c>
      <c r="C206" s="33">
        <v>202</v>
      </c>
      <c r="D206" s="33">
        <v>8</v>
      </c>
      <c r="E206" s="33">
        <v>15</v>
      </c>
      <c r="F206" s="33">
        <v>720</v>
      </c>
      <c r="G206" s="33">
        <v>20</v>
      </c>
      <c r="H206" s="29" t="s">
        <v>887</v>
      </c>
      <c r="I206" s="33" t="s">
        <v>918</v>
      </c>
      <c r="J206" s="31">
        <v>1</v>
      </c>
      <c r="K206" s="31">
        <v>1</v>
      </c>
      <c r="W206" s="22" t="str">
        <f t="shared" si="6"/>
        <v>,(202,8,15,720,20,"11","2024-12-16",1,1)</v>
      </c>
    </row>
    <row r="207" spans="2:23" x14ac:dyDescent="0.4">
      <c r="B207" s="33">
        <v>203</v>
      </c>
      <c r="C207" s="33">
        <v>203</v>
      </c>
      <c r="D207" s="33">
        <v>14</v>
      </c>
      <c r="E207" s="33">
        <v>15</v>
      </c>
      <c r="F207" s="33">
        <v>720</v>
      </c>
      <c r="G207" s="33">
        <v>40</v>
      </c>
      <c r="H207" s="29" t="s">
        <v>887</v>
      </c>
      <c r="I207" s="33" t="s">
        <v>918</v>
      </c>
      <c r="J207" s="31">
        <v>1</v>
      </c>
      <c r="K207" s="31">
        <v>1</v>
      </c>
      <c r="W207" s="22" t="str">
        <f t="shared" si="6"/>
        <v>,(203,14,15,720,40,"11","2024-12-16",1,1)</v>
      </c>
    </row>
    <row r="208" spans="2:23" x14ac:dyDescent="0.4">
      <c r="B208" s="33">
        <v>204</v>
      </c>
      <c r="C208" s="33">
        <v>204</v>
      </c>
      <c r="D208" s="33">
        <v>20</v>
      </c>
      <c r="E208" s="33">
        <v>41</v>
      </c>
      <c r="F208" s="33">
        <v>5560</v>
      </c>
      <c r="G208" s="33">
        <v>2</v>
      </c>
      <c r="H208" s="29" t="s">
        <v>887</v>
      </c>
      <c r="I208" s="33" t="s">
        <v>941</v>
      </c>
      <c r="J208" s="31">
        <v>1</v>
      </c>
      <c r="K208" s="31">
        <v>1</v>
      </c>
      <c r="W208" s="22" t="str">
        <f t="shared" si="6"/>
        <v>,(204,20,41,5560,2,"11","2024-12-20",1,1)</v>
      </c>
    </row>
    <row r="209" spans="2:23" x14ac:dyDescent="0.4">
      <c r="B209" s="33">
        <v>205</v>
      </c>
      <c r="C209" s="33">
        <v>205</v>
      </c>
      <c r="D209" s="33">
        <v>4</v>
      </c>
      <c r="E209" s="33">
        <v>46</v>
      </c>
      <c r="F209" s="33">
        <v>38930</v>
      </c>
      <c r="G209" s="33">
        <v>2</v>
      </c>
      <c r="H209" s="29" t="s">
        <v>887</v>
      </c>
      <c r="I209" s="33" t="s">
        <v>941</v>
      </c>
      <c r="J209" s="31">
        <v>1</v>
      </c>
      <c r="K209" s="31">
        <v>1</v>
      </c>
      <c r="W209" s="22" t="str">
        <f t="shared" si="6"/>
        <v>,(205,4,46,38930,2,"11","2024-12-20",1,1)</v>
      </c>
    </row>
    <row r="210" spans="2:23" x14ac:dyDescent="0.4">
      <c r="B210" s="33">
        <v>206</v>
      </c>
      <c r="C210" s="33">
        <v>206</v>
      </c>
      <c r="D210" s="33">
        <v>18</v>
      </c>
      <c r="E210" s="33">
        <v>109</v>
      </c>
      <c r="F210" s="33">
        <v>9880</v>
      </c>
      <c r="G210" s="33">
        <v>2</v>
      </c>
      <c r="H210" s="29" t="s">
        <v>887</v>
      </c>
      <c r="I210" s="33" t="s">
        <v>941</v>
      </c>
      <c r="J210" s="31">
        <v>1</v>
      </c>
      <c r="K210" s="31">
        <v>1</v>
      </c>
      <c r="W210" s="22" t="str">
        <f t="shared" si="6"/>
        <v>,(206,18,109,9880,2,"11","2024-12-20",1,1)</v>
      </c>
    </row>
    <row r="211" spans="2:23" x14ac:dyDescent="0.4">
      <c r="B211" s="33">
        <v>207</v>
      </c>
      <c r="C211" s="33">
        <v>207</v>
      </c>
      <c r="D211" s="33">
        <v>18</v>
      </c>
      <c r="E211" s="33">
        <v>118</v>
      </c>
      <c r="F211" s="33">
        <v>4350</v>
      </c>
      <c r="G211" s="33">
        <v>4</v>
      </c>
      <c r="H211" s="29" t="s">
        <v>887</v>
      </c>
      <c r="I211" s="33" t="s">
        <v>941</v>
      </c>
      <c r="J211" s="31">
        <v>1</v>
      </c>
      <c r="K211" s="31">
        <v>1</v>
      </c>
      <c r="W211" s="22" t="str">
        <f t="shared" si="6"/>
        <v>,(207,18,118,4350,4,"11","2024-12-20",1,1)</v>
      </c>
    </row>
    <row r="212" spans="2:23" x14ac:dyDescent="0.4">
      <c r="B212" s="33">
        <v>208</v>
      </c>
      <c r="C212" s="33">
        <v>208</v>
      </c>
      <c r="D212" s="33">
        <v>18</v>
      </c>
      <c r="E212" s="33">
        <v>46</v>
      </c>
      <c r="F212" s="33">
        <v>38930</v>
      </c>
      <c r="G212" s="33">
        <v>1</v>
      </c>
      <c r="H212" s="29" t="s">
        <v>887</v>
      </c>
      <c r="I212" s="33" t="s">
        <v>953</v>
      </c>
      <c r="J212" s="31">
        <v>1</v>
      </c>
      <c r="K212" s="31">
        <v>1</v>
      </c>
      <c r="W212" s="22" t="str">
        <f t="shared" si="6"/>
        <v>,(208,18,46,38930,1,"11","2025-01-18",1,1)</v>
      </c>
    </row>
    <row r="213" spans="2:23" x14ac:dyDescent="0.4">
      <c r="B213" s="33">
        <v>209</v>
      </c>
      <c r="C213" s="33">
        <v>209</v>
      </c>
      <c r="D213" s="33">
        <v>19</v>
      </c>
      <c r="E213" s="33">
        <v>39</v>
      </c>
      <c r="F213" s="33">
        <v>4750</v>
      </c>
      <c r="G213" s="33">
        <v>2</v>
      </c>
      <c r="H213" s="29" t="s">
        <v>887</v>
      </c>
      <c r="I213" s="33" t="s">
        <v>953</v>
      </c>
      <c r="J213" s="31">
        <v>1</v>
      </c>
      <c r="K213" s="31">
        <v>1</v>
      </c>
      <c r="W213" s="22" t="str">
        <f t="shared" si="6"/>
        <v>,(209,19,39,4750,2,"11","2025-01-18",1,1)</v>
      </c>
    </row>
    <row r="214" spans="2:23" x14ac:dyDescent="0.4">
      <c r="B214" s="33">
        <v>210</v>
      </c>
      <c r="C214" s="33">
        <v>210</v>
      </c>
      <c r="D214" s="33">
        <v>19</v>
      </c>
      <c r="E214" s="33">
        <v>174</v>
      </c>
      <c r="F214" s="33">
        <v>5700</v>
      </c>
      <c r="G214" s="33">
        <v>2</v>
      </c>
      <c r="H214" s="29" t="s">
        <v>887</v>
      </c>
      <c r="I214" s="33" t="s">
        <v>953</v>
      </c>
      <c r="J214" s="31">
        <v>1</v>
      </c>
      <c r="K214" s="31">
        <v>1</v>
      </c>
      <c r="W214" s="22" t="str">
        <f t="shared" si="6"/>
        <v>,(210,19,174,5700,2,"11","2025-01-18",1,1)</v>
      </c>
    </row>
    <row r="215" spans="2:23" x14ac:dyDescent="0.4">
      <c r="B215" s="33">
        <v>211</v>
      </c>
      <c r="C215" s="33">
        <v>211</v>
      </c>
      <c r="D215" s="33">
        <v>20</v>
      </c>
      <c r="E215" s="33">
        <v>174</v>
      </c>
      <c r="F215" s="33">
        <v>5700</v>
      </c>
      <c r="G215" s="33">
        <v>3</v>
      </c>
      <c r="H215" s="29" t="s">
        <v>887</v>
      </c>
      <c r="I215" s="33" t="s">
        <v>953</v>
      </c>
      <c r="J215" s="31">
        <v>1</v>
      </c>
      <c r="K215" s="31">
        <v>1</v>
      </c>
      <c r="W215" s="22" t="str">
        <f t="shared" si="6"/>
        <v>,(211,20,174,5700,3,"11","2025-01-18",1,1)</v>
      </c>
    </row>
    <row r="216" spans="2:23" x14ac:dyDescent="0.4">
      <c r="B216" s="33">
        <v>212</v>
      </c>
      <c r="C216" s="33">
        <v>212</v>
      </c>
      <c r="D216" s="33">
        <v>19</v>
      </c>
      <c r="E216" s="33">
        <v>101</v>
      </c>
      <c r="F216" s="33">
        <v>5700</v>
      </c>
      <c r="G216" s="33">
        <v>1</v>
      </c>
      <c r="H216" s="29" t="s">
        <v>887</v>
      </c>
      <c r="I216" s="33" t="s">
        <v>953</v>
      </c>
      <c r="J216" s="31">
        <v>1</v>
      </c>
      <c r="K216" s="31">
        <v>1</v>
      </c>
      <c r="W216" s="22" t="str">
        <f t="shared" si="6"/>
        <v>,(212,19,101,5700,1,"11","2025-01-18",1,1)</v>
      </c>
    </row>
    <row r="217" spans="2:23" x14ac:dyDescent="0.4">
      <c r="B217" s="33">
        <v>213</v>
      </c>
      <c r="C217" s="33">
        <v>213</v>
      </c>
      <c r="D217" s="33">
        <v>20</v>
      </c>
      <c r="E217" s="33">
        <v>101</v>
      </c>
      <c r="F217" s="33">
        <v>5700</v>
      </c>
      <c r="G217" s="33">
        <v>3</v>
      </c>
      <c r="H217" s="29" t="s">
        <v>887</v>
      </c>
      <c r="I217" s="33" t="s">
        <v>953</v>
      </c>
      <c r="J217" s="31">
        <v>1</v>
      </c>
      <c r="K217" s="31">
        <v>1</v>
      </c>
      <c r="W217" s="22" t="str">
        <f t="shared" si="6"/>
        <v>,(213,20,101,5700,3,"11","2025-01-18",1,1)</v>
      </c>
    </row>
    <row r="218" spans="2:23" x14ac:dyDescent="0.4">
      <c r="B218" s="33">
        <v>214</v>
      </c>
      <c r="C218" s="33">
        <v>214</v>
      </c>
      <c r="D218" s="33">
        <v>13</v>
      </c>
      <c r="E218" s="33">
        <v>41</v>
      </c>
      <c r="F218" s="33">
        <v>5560</v>
      </c>
      <c r="G218" s="33">
        <v>3</v>
      </c>
      <c r="H218" s="29" t="s">
        <v>887</v>
      </c>
      <c r="I218" s="33" t="s">
        <v>940</v>
      </c>
      <c r="J218" s="31">
        <v>1</v>
      </c>
      <c r="K218" s="31">
        <v>1</v>
      </c>
      <c r="W218" s="22" t="str">
        <f t="shared" si="6"/>
        <v>,(214,13,41,5560,3,"11","2025-02-25",1,1)</v>
      </c>
    </row>
    <row r="219" spans="2:23" x14ac:dyDescent="0.4">
      <c r="B219" s="33">
        <v>215</v>
      </c>
      <c r="C219" s="33">
        <v>215</v>
      </c>
      <c r="D219" s="33">
        <v>12</v>
      </c>
      <c r="E219" s="33">
        <v>105</v>
      </c>
      <c r="F219" s="33">
        <v>11100</v>
      </c>
      <c r="G219" s="33">
        <v>2</v>
      </c>
      <c r="H219" s="29" t="s">
        <v>887</v>
      </c>
      <c r="I219" s="33" t="s">
        <v>940</v>
      </c>
      <c r="J219" s="31">
        <v>1</v>
      </c>
      <c r="K219" s="31">
        <v>1</v>
      </c>
      <c r="W219" s="22" t="str">
        <f t="shared" si="6"/>
        <v>,(215,12,105,11100,2,"11","2025-02-25",1,1)</v>
      </c>
    </row>
    <row r="220" spans="2:23" x14ac:dyDescent="0.4">
      <c r="B220" s="33">
        <v>216</v>
      </c>
      <c r="C220" s="33">
        <v>216</v>
      </c>
      <c r="D220" s="33">
        <v>12</v>
      </c>
      <c r="E220" s="33">
        <v>107</v>
      </c>
      <c r="F220" s="33">
        <v>21400</v>
      </c>
      <c r="G220" s="33">
        <v>1</v>
      </c>
      <c r="H220" s="29" t="s">
        <v>887</v>
      </c>
      <c r="I220" s="33" t="s">
        <v>940</v>
      </c>
      <c r="J220" s="31">
        <v>1</v>
      </c>
      <c r="K220" s="31">
        <v>1</v>
      </c>
      <c r="W220" s="22" t="str">
        <f t="shared" si="6"/>
        <v>,(216,12,107,21400,1,"11","2025-02-25",1,1)</v>
      </c>
    </row>
    <row r="221" spans="2:23" x14ac:dyDescent="0.4">
      <c r="B221" s="33">
        <v>217</v>
      </c>
      <c r="C221" s="33">
        <v>217</v>
      </c>
      <c r="D221" s="33">
        <v>12</v>
      </c>
      <c r="E221" s="33">
        <v>50</v>
      </c>
      <c r="F221" s="33">
        <v>20810</v>
      </c>
      <c r="G221" s="33">
        <v>1</v>
      </c>
      <c r="H221" s="29" t="s">
        <v>887</v>
      </c>
      <c r="I221" s="33" t="s">
        <v>940</v>
      </c>
      <c r="J221" s="31">
        <v>1</v>
      </c>
      <c r="K221" s="31">
        <v>1</v>
      </c>
      <c r="W221" s="22" t="str">
        <f t="shared" si="6"/>
        <v>,(217,12,50,20810,1,"11","2025-02-25",1,1)</v>
      </c>
    </row>
    <row r="222" spans="2:23" x14ac:dyDescent="0.4">
      <c r="B222" s="33">
        <v>218</v>
      </c>
      <c r="C222" s="33">
        <v>218</v>
      </c>
      <c r="D222" s="33">
        <v>12</v>
      </c>
      <c r="E222" s="33">
        <v>108</v>
      </c>
      <c r="F222" s="33">
        <v>21010</v>
      </c>
      <c r="G222" s="33">
        <v>5</v>
      </c>
      <c r="H222" s="29" t="s">
        <v>887</v>
      </c>
      <c r="I222" s="33" t="s">
        <v>940</v>
      </c>
      <c r="J222" s="31">
        <v>1</v>
      </c>
      <c r="K222" s="31">
        <v>1</v>
      </c>
      <c r="W222" s="22" t="str">
        <f t="shared" si="6"/>
        <v>,(218,12,108,21010,5,"11","2025-02-25",1,1)</v>
      </c>
    </row>
    <row r="223" spans="2:23" x14ac:dyDescent="0.4">
      <c r="B223" s="33">
        <v>219</v>
      </c>
      <c r="C223" s="33">
        <v>219</v>
      </c>
      <c r="D223" s="33">
        <v>13</v>
      </c>
      <c r="E223" s="33">
        <v>101</v>
      </c>
      <c r="F223" s="33">
        <v>5130</v>
      </c>
      <c r="G223" s="33">
        <v>2</v>
      </c>
      <c r="H223" s="29" t="s">
        <v>887</v>
      </c>
      <c r="I223" s="33" t="s">
        <v>940</v>
      </c>
      <c r="J223" s="31">
        <v>1</v>
      </c>
      <c r="K223" s="31">
        <v>1</v>
      </c>
      <c r="W223" s="22" t="str">
        <f t="shared" si="6"/>
        <v>,(219,13,101,5130,2,"11","2025-02-25",1,1)</v>
      </c>
    </row>
    <row r="224" spans="2:23" x14ac:dyDescent="0.4">
      <c r="B224" s="33">
        <v>220</v>
      </c>
      <c r="C224" s="33">
        <v>220</v>
      </c>
      <c r="D224" s="33">
        <v>21</v>
      </c>
      <c r="E224" s="33">
        <v>59</v>
      </c>
      <c r="F224" s="33">
        <v>6460</v>
      </c>
      <c r="G224" s="33">
        <v>4</v>
      </c>
      <c r="H224" s="29" t="s">
        <v>887</v>
      </c>
      <c r="I224" s="33" t="s">
        <v>940</v>
      </c>
      <c r="J224" s="31">
        <v>1</v>
      </c>
      <c r="K224" s="31">
        <v>1</v>
      </c>
      <c r="W224" s="22" t="str">
        <f t="shared" si="6"/>
        <v>,(220,21,59,6460,4,"11","2025-02-25",1,1)</v>
      </c>
    </row>
    <row r="225" spans="2:23" x14ac:dyDescent="0.4">
      <c r="B225" s="33">
        <v>221</v>
      </c>
      <c r="C225" s="33">
        <v>221</v>
      </c>
      <c r="D225" s="33">
        <v>4</v>
      </c>
      <c r="E225" s="33">
        <v>84</v>
      </c>
      <c r="F225" s="33">
        <v>520</v>
      </c>
      <c r="G225" s="33">
        <v>6</v>
      </c>
      <c r="H225" s="29" t="s">
        <v>887</v>
      </c>
      <c r="I225" s="33" t="s">
        <v>939</v>
      </c>
      <c r="J225" s="31">
        <v>1</v>
      </c>
      <c r="K225" s="31">
        <v>1</v>
      </c>
      <c r="W225" s="22" t="str">
        <f t="shared" si="6"/>
        <v>,(221,4,84,520,6,"11","2025-03-08",1,1)</v>
      </c>
    </row>
    <row r="226" spans="2:23" x14ac:dyDescent="0.4">
      <c r="B226" s="33">
        <v>222</v>
      </c>
      <c r="C226" s="33">
        <v>222</v>
      </c>
      <c r="D226" s="33">
        <v>11</v>
      </c>
      <c r="E226" s="33">
        <v>105</v>
      </c>
      <c r="F226" s="33">
        <v>11100</v>
      </c>
      <c r="G226" s="33">
        <v>1</v>
      </c>
      <c r="H226" s="29" t="s">
        <v>887</v>
      </c>
      <c r="I226" s="33" t="s">
        <v>939</v>
      </c>
      <c r="J226" s="31">
        <v>1</v>
      </c>
      <c r="K226" s="31">
        <v>1</v>
      </c>
      <c r="W226" s="22" t="str">
        <f t="shared" si="6"/>
        <v>,(222,11,105,11100,1,"11","2025-03-08",1,1)</v>
      </c>
    </row>
    <row r="227" spans="2:23" x14ac:dyDescent="0.4">
      <c r="B227" s="33">
        <v>223</v>
      </c>
      <c r="C227" s="33">
        <v>223</v>
      </c>
      <c r="D227" s="33">
        <v>11</v>
      </c>
      <c r="E227" s="33">
        <v>154</v>
      </c>
      <c r="F227" s="33">
        <v>6860</v>
      </c>
      <c r="G227" s="33">
        <v>1</v>
      </c>
      <c r="H227" s="29" t="s">
        <v>887</v>
      </c>
      <c r="I227" s="33" t="s">
        <v>939</v>
      </c>
      <c r="J227" s="31">
        <v>1</v>
      </c>
      <c r="K227" s="31">
        <v>1</v>
      </c>
      <c r="W227" s="22" t="str">
        <f t="shared" si="6"/>
        <v>,(223,11,154,6860,1,"11","2025-03-08",1,1)</v>
      </c>
    </row>
    <row r="228" spans="2:23" x14ac:dyDescent="0.4">
      <c r="B228" s="33">
        <v>224</v>
      </c>
      <c r="C228" s="33">
        <v>224</v>
      </c>
      <c r="D228" s="33">
        <v>18</v>
      </c>
      <c r="E228" s="33">
        <v>154</v>
      </c>
      <c r="F228" s="33">
        <v>6860</v>
      </c>
      <c r="G228" s="33">
        <v>1</v>
      </c>
      <c r="H228" s="29" t="s">
        <v>887</v>
      </c>
      <c r="I228" s="33" t="s">
        <v>939</v>
      </c>
      <c r="J228" s="31">
        <v>1</v>
      </c>
      <c r="K228" s="31">
        <v>1</v>
      </c>
      <c r="W228" s="22" t="str">
        <f t="shared" si="6"/>
        <v>,(224,18,154,6860,1,"11","2025-03-08",1,1)</v>
      </c>
    </row>
    <row r="229" spans="2:23" x14ac:dyDescent="0.4">
      <c r="B229" s="33">
        <v>225</v>
      </c>
      <c r="C229" s="33">
        <v>225</v>
      </c>
      <c r="D229" s="33">
        <v>21</v>
      </c>
      <c r="E229" s="33">
        <v>154</v>
      </c>
      <c r="F229" s="33">
        <v>6860</v>
      </c>
      <c r="G229" s="33">
        <v>1</v>
      </c>
      <c r="H229" s="29" t="s">
        <v>887</v>
      </c>
      <c r="I229" s="33" t="s">
        <v>939</v>
      </c>
      <c r="J229" s="31">
        <v>1</v>
      </c>
      <c r="K229" s="31">
        <v>1</v>
      </c>
      <c r="W229" s="22" t="str">
        <f t="shared" si="6"/>
        <v>,(225,21,154,6860,1,"11","2025-03-08",1,1)</v>
      </c>
    </row>
    <row r="230" spans="2:23" x14ac:dyDescent="0.4">
      <c r="B230" s="33">
        <v>226</v>
      </c>
      <c r="C230" s="33">
        <v>226</v>
      </c>
      <c r="D230" s="33">
        <v>4</v>
      </c>
      <c r="E230" s="33">
        <v>116</v>
      </c>
      <c r="F230" s="33">
        <v>3950</v>
      </c>
      <c r="G230" s="33">
        <v>1</v>
      </c>
      <c r="H230" s="29" t="s">
        <v>887</v>
      </c>
      <c r="I230" s="33" t="s">
        <v>939</v>
      </c>
      <c r="J230" s="31">
        <v>1</v>
      </c>
      <c r="K230" s="31">
        <v>1</v>
      </c>
      <c r="W230" s="22" t="str">
        <f t="shared" si="6"/>
        <v>,(226,4,116,3950,1,"11","2025-03-08",1,1)</v>
      </c>
    </row>
    <row r="231" spans="2:23" x14ac:dyDescent="0.4">
      <c r="B231" s="33">
        <v>227</v>
      </c>
      <c r="C231" s="33">
        <v>227</v>
      </c>
      <c r="D231" s="33">
        <v>11</v>
      </c>
      <c r="E231" s="33">
        <v>159</v>
      </c>
      <c r="F231" s="33">
        <v>11900</v>
      </c>
      <c r="G231" s="33">
        <v>2</v>
      </c>
      <c r="H231" s="29" t="s">
        <v>887</v>
      </c>
      <c r="I231" s="33" t="s">
        <v>939</v>
      </c>
      <c r="J231" s="31">
        <v>1</v>
      </c>
      <c r="K231" s="31">
        <v>1</v>
      </c>
      <c r="W231" s="22" t="str">
        <f t="shared" si="6"/>
        <v>,(227,11,159,11900,2,"11","2025-03-08",1,1)</v>
      </c>
    </row>
    <row r="232" spans="2:23" x14ac:dyDescent="0.4">
      <c r="B232" s="33">
        <v>228</v>
      </c>
      <c r="C232" s="33">
        <v>228</v>
      </c>
      <c r="D232" s="33">
        <v>21</v>
      </c>
      <c r="E232" s="33">
        <v>159</v>
      </c>
      <c r="F232" s="33">
        <v>11900</v>
      </c>
      <c r="G232" s="33">
        <v>1</v>
      </c>
      <c r="H232" s="29" t="s">
        <v>887</v>
      </c>
      <c r="I232" s="33" t="s">
        <v>939</v>
      </c>
      <c r="J232" s="31">
        <v>1</v>
      </c>
      <c r="K232" s="31">
        <v>1</v>
      </c>
      <c r="W232" s="22" t="str">
        <f t="shared" si="6"/>
        <v>,(228,21,159,11900,1,"11","2025-03-08",1,1)</v>
      </c>
    </row>
    <row r="233" spans="2:23" x14ac:dyDescent="0.4">
      <c r="B233" s="33">
        <v>229</v>
      </c>
      <c r="C233" s="33">
        <v>229</v>
      </c>
      <c r="D233" s="33">
        <v>18</v>
      </c>
      <c r="E233" s="33">
        <v>59</v>
      </c>
      <c r="F233" s="33">
        <v>6460</v>
      </c>
      <c r="G233" s="33">
        <v>2</v>
      </c>
      <c r="H233" s="29" t="s">
        <v>887</v>
      </c>
      <c r="I233" s="33" t="s">
        <v>939</v>
      </c>
      <c r="J233" s="31">
        <v>1</v>
      </c>
      <c r="K233" s="31">
        <v>1</v>
      </c>
      <c r="W233" s="22" t="str">
        <f t="shared" si="6"/>
        <v>,(229,18,59,6460,2,"11","2025-03-08",1,1)</v>
      </c>
    </row>
    <row r="234" spans="2:23" x14ac:dyDescent="0.4">
      <c r="B234" s="33">
        <v>230</v>
      </c>
      <c r="C234" s="33">
        <v>230</v>
      </c>
      <c r="D234" s="33">
        <v>21</v>
      </c>
      <c r="E234" s="33">
        <v>59</v>
      </c>
      <c r="F234" s="33">
        <v>6460</v>
      </c>
      <c r="G234" s="33">
        <v>2</v>
      </c>
      <c r="H234" s="29" t="s">
        <v>887</v>
      </c>
      <c r="I234" s="33" t="s">
        <v>939</v>
      </c>
      <c r="J234" s="31">
        <v>1</v>
      </c>
      <c r="K234" s="31">
        <v>1</v>
      </c>
      <c r="W234" s="22" t="str">
        <f t="shared" si="6"/>
        <v>,(230,21,59,6460,2,"11","2025-03-08",1,1)</v>
      </c>
    </row>
    <row r="235" spans="2:23" x14ac:dyDescent="0.4">
      <c r="B235" s="33">
        <v>231</v>
      </c>
      <c r="C235" s="33">
        <v>231</v>
      </c>
      <c r="D235" s="33">
        <v>21</v>
      </c>
      <c r="E235" s="33">
        <v>70</v>
      </c>
      <c r="F235" s="33">
        <v>6210</v>
      </c>
      <c r="G235" s="33">
        <v>2</v>
      </c>
      <c r="H235" s="29" t="s">
        <v>887</v>
      </c>
      <c r="I235" s="33" t="s">
        <v>939</v>
      </c>
      <c r="J235" s="31">
        <v>1</v>
      </c>
      <c r="K235" s="31">
        <v>1</v>
      </c>
      <c r="W235" s="22" t="str">
        <f t="shared" si="6"/>
        <v>,(231,21,70,6210,2,"11","2025-03-08",1,1)</v>
      </c>
    </row>
    <row r="236" spans="2:23" x14ac:dyDescent="0.4">
      <c r="B236" s="33">
        <v>232</v>
      </c>
      <c r="C236" s="33">
        <v>232</v>
      </c>
      <c r="D236" s="33">
        <v>21</v>
      </c>
      <c r="E236" s="33">
        <v>71</v>
      </c>
      <c r="F236" s="33">
        <v>1000</v>
      </c>
      <c r="G236" s="33">
        <v>20</v>
      </c>
      <c r="H236" s="29" t="s">
        <v>887</v>
      </c>
      <c r="I236" s="33" t="s">
        <v>939</v>
      </c>
      <c r="J236" s="31">
        <v>1</v>
      </c>
      <c r="K236" s="31">
        <v>1</v>
      </c>
      <c r="W236" s="22" t="str">
        <f t="shared" si="6"/>
        <v>,(232,21,71,1000,20,"11","2025-03-08",1,1)</v>
      </c>
    </row>
    <row r="237" spans="2:23" x14ac:dyDescent="0.4">
      <c r="B237" s="33">
        <v>233</v>
      </c>
      <c r="C237" s="33">
        <v>233</v>
      </c>
      <c r="D237" s="33">
        <v>21</v>
      </c>
      <c r="E237" s="33">
        <v>69</v>
      </c>
      <c r="F237" s="33">
        <v>1500</v>
      </c>
      <c r="G237" s="33">
        <v>30</v>
      </c>
      <c r="H237" s="29" t="s">
        <v>887</v>
      </c>
      <c r="I237" s="33" t="s">
        <v>939</v>
      </c>
      <c r="J237" s="31">
        <v>1</v>
      </c>
      <c r="K237" s="31">
        <v>1</v>
      </c>
      <c r="W237" s="22" t="str">
        <f t="shared" si="6"/>
        <v>,(233,21,69,1500,30,"11","2025-03-08",1,1)</v>
      </c>
    </row>
    <row r="238" spans="2:23" x14ac:dyDescent="0.4">
      <c r="B238" s="33">
        <v>234</v>
      </c>
      <c r="C238" s="33">
        <v>234</v>
      </c>
      <c r="D238" s="33">
        <v>4</v>
      </c>
      <c r="E238" s="33">
        <v>124</v>
      </c>
      <c r="F238" s="33">
        <v>630</v>
      </c>
      <c r="G238" s="33">
        <v>5</v>
      </c>
      <c r="H238" s="29" t="s">
        <v>887</v>
      </c>
      <c r="I238" s="33" t="s">
        <v>939</v>
      </c>
      <c r="J238" s="31">
        <v>1</v>
      </c>
      <c r="K238" s="31">
        <v>1</v>
      </c>
      <c r="W238" s="22" t="str">
        <f t="shared" si="6"/>
        <v>,(234,4,124,630,5,"11","2025-03-08",1,1)</v>
      </c>
    </row>
    <row r="239" spans="2:23" x14ac:dyDescent="0.4">
      <c r="B239" s="33">
        <v>235</v>
      </c>
      <c r="C239" s="33">
        <v>235</v>
      </c>
      <c r="D239" s="33">
        <v>4</v>
      </c>
      <c r="E239" s="33">
        <v>166</v>
      </c>
      <c r="F239" s="33">
        <v>510</v>
      </c>
      <c r="G239" s="33">
        <v>10</v>
      </c>
      <c r="H239" s="29" t="s">
        <v>887</v>
      </c>
      <c r="I239" s="33" t="s">
        <v>939</v>
      </c>
      <c r="J239" s="31">
        <v>1</v>
      </c>
      <c r="K239" s="31">
        <v>1</v>
      </c>
      <c r="W239" s="22" t="str">
        <f t="shared" si="6"/>
        <v>,(235,4,166,510,10,"11","2025-03-08",1,1)</v>
      </c>
    </row>
    <row r="240" spans="2:23" x14ac:dyDescent="0.4">
      <c r="B240" s="33">
        <v>236</v>
      </c>
      <c r="C240" s="33">
        <v>236</v>
      </c>
      <c r="D240" s="33">
        <v>21</v>
      </c>
      <c r="E240" s="33">
        <v>129</v>
      </c>
      <c r="F240" s="33">
        <v>1970</v>
      </c>
      <c r="G240" s="33">
        <v>2</v>
      </c>
      <c r="H240" s="29" t="s">
        <v>887</v>
      </c>
      <c r="I240" s="33" t="s">
        <v>939</v>
      </c>
      <c r="J240" s="31">
        <v>1</v>
      </c>
      <c r="K240" s="31">
        <v>1</v>
      </c>
      <c r="W240" s="22" t="str">
        <f t="shared" si="6"/>
        <v>,(236,21,129,1970,2,"11","2025-03-08",1,1)</v>
      </c>
    </row>
    <row r="241" spans="2:23" x14ac:dyDescent="0.4">
      <c r="B241" s="33">
        <v>237</v>
      </c>
      <c r="C241" s="33">
        <v>237</v>
      </c>
      <c r="D241" s="33">
        <v>4</v>
      </c>
      <c r="E241" s="33">
        <v>131</v>
      </c>
      <c r="F241" s="33">
        <v>770</v>
      </c>
      <c r="G241" s="33">
        <v>20</v>
      </c>
      <c r="H241" s="29" t="s">
        <v>887</v>
      </c>
      <c r="I241" s="33" t="s">
        <v>939</v>
      </c>
      <c r="J241" s="31">
        <v>1</v>
      </c>
      <c r="K241" s="31">
        <v>1</v>
      </c>
      <c r="W241" s="22" t="str">
        <f t="shared" si="6"/>
        <v>,(237,4,131,770,20,"11","2025-03-08",1,1)</v>
      </c>
    </row>
    <row r="242" spans="2:23" x14ac:dyDescent="0.4">
      <c r="B242" s="33">
        <v>238</v>
      </c>
      <c r="C242" s="33">
        <v>238</v>
      </c>
      <c r="D242" s="33">
        <v>2</v>
      </c>
      <c r="E242" s="33">
        <v>35</v>
      </c>
      <c r="F242" s="33">
        <v>1390</v>
      </c>
      <c r="G242" s="33">
        <v>10</v>
      </c>
      <c r="H242" s="29" t="s">
        <v>887</v>
      </c>
      <c r="I242" s="33" t="s">
        <v>939</v>
      </c>
      <c r="J242" s="31">
        <v>1</v>
      </c>
      <c r="K242" s="31">
        <v>1</v>
      </c>
      <c r="W242" s="22" t="str">
        <f t="shared" si="6"/>
        <v>,(238,2,35,1390,10,"11","2025-03-08",1,1)</v>
      </c>
    </row>
    <row r="243" spans="2:23" x14ac:dyDescent="0.4">
      <c r="B243" s="33">
        <v>239</v>
      </c>
      <c r="C243" s="33">
        <v>239</v>
      </c>
      <c r="D243" s="33">
        <v>16</v>
      </c>
      <c r="E243" s="33">
        <v>148</v>
      </c>
      <c r="F243" s="33">
        <v>9900</v>
      </c>
      <c r="G243" s="33">
        <v>5</v>
      </c>
      <c r="H243" s="29" t="s">
        <v>887</v>
      </c>
      <c r="I243" s="33" t="s">
        <v>938</v>
      </c>
      <c r="J243" s="31">
        <v>1</v>
      </c>
      <c r="K243" s="31">
        <v>1</v>
      </c>
      <c r="W243" s="22" t="str">
        <f t="shared" ref="W243:W306" si="7">_xlfn.CONCAT(IF(B243=1,"",","),"(",_xlfn.TEXTJOIN(",",TRUE,C243:V243),")")</f>
        <v>,(239,16,148,9900,5,"11","2025-04-05",1,1)</v>
      </c>
    </row>
    <row r="244" spans="2:23" x14ac:dyDescent="0.4">
      <c r="B244" s="33">
        <v>240</v>
      </c>
      <c r="C244" s="33">
        <v>240</v>
      </c>
      <c r="D244" s="33">
        <v>4</v>
      </c>
      <c r="E244" s="33">
        <v>150</v>
      </c>
      <c r="F244" s="33">
        <v>2700</v>
      </c>
      <c r="G244" s="33">
        <v>1</v>
      </c>
      <c r="H244" s="29" t="s">
        <v>887</v>
      </c>
      <c r="I244" s="33" t="s">
        <v>938</v>
      </c>
      <c r="J244" s="31">
        <v>1</v>
      </c>
      <c r="K244" s="31">
        <v>1</v>
      </c>
      <c r="W244" s="22" t="str">
        <f t="shared" si="7"/>
        <v>,(240,4,150,2700,1,"11","2025-04-05",1,1)</v>
      </c>
    </row>
    <row r="245" spans="2:23" x14ac:dyDescent="0.4">
      <c r="B245" s="33">
        <v>241</v>
      </c>
      <c r="C245" s="33">
        <v>241</v>
      </c>
      <c r="D245" s="33">
        <v>4</v>
      </c>
      <c r="E245" s="33">
        <v>84</v>
      </c>
      <c r="F245" s="33">
        <v>520</v>
      </c>
      <c r="G245" s="33">
        <v>20</v>
      </c>
      <c r="H245" s="29" t="s">
        <v>887</v>
      </c>
      <c r="I245" s="33" t="s">
        <v>938</v>
      </c>
      <c r="J245" s="31">
        <v>1</v>
      </c>
      <c r="K245" s="31">
        <v>1</v>
      </c>
      <c r="W245" s="22" t="str">
        <f t="shared" si="7"/>
        <v>,(241,4,84,520,20,"11","2025-04-05",1,1)</v>
      </c>
    </row>
    <row r="246" spans="2:23" x14ac:dyDescent="0.4">
      <c r="B246" s="33">
        <v>242</v>
      </c>
      <c r="C246" s="33">
        <v>242</v>
      </c>
      <c r="D246" s="33">
        <v>18</v>
      </c>
      <c r="E246" s="33">
        <v>47</v>
      </c>
      <c r="F246" s="33">
        <v>4320</v>
      </c>
      <c r="G246" s="33">
        <v>1</v>
      </c>
      <c r="H246" s="29" t="s">
        <v>887</v>
      </c>
      <c r="I246" s="33" t="s">
        <v>938</v>
      </c>
      <c r="J246" s="31">
        <v>1</v>
      </c>
      <c r="K246" s="31">
        <v>1</v>
      </c>
      <c r="W246" s="22" t="str">
        <f t="shared" si="7"/>
        <v>,(242,18,47,4320,1,"11","2025-04-05",1,1)</v>
      </c>
    </row>
    <row r="247" spans="2:23" x14ac:dyDescent="0.4">
      <c r="B247" s="33">
        <v>243</v>
      </c>
      <c r="C247" s="33">
        <v>243</v>
      </c>
      <c r="D247" s="33">
        <v>11</v>
      </c>
      <c r="E247" s="33">
        <v>50</v>
      </c>
      <c r="F247" s="33">
        <v>21840</v>
      </c>
      <c r="G247" s="33">
        <v>1</v>
      </c>
      <c r="H247" s="29" t="s">
        <v>887</v>
      </c>
      <c r="I247" s="33" t="s">
        <v>938</v>
      </c>
      <c r="J247" s="31">
        <v>1</v>
      </c>
      <c r="K247" s="31">
        <v>1</v>
      </c>
      <c r="W247" s="22" t="str">
        <f t="shared" si="7"/>
        <v>,(243,11,50,21840,1,"11","2025-04-05",1,1)</v>
      </c>
    </row>
    <row r="248" spans="2:23" x14ac:dyDescent="0.4">
      <c r="B248" s="33">
        <v>244</v>
      </c>
      <c r="C248" s="33">
        <v>244</v>
      </c>
      <c r="D248" s="33">
        <v>12</v>
      </c>
      <c r="E248" s="33">
        <v>50</v>
      </c>
      <c r="F248" s="33">
        <v>21840</v>
      </c>
      <c r="G248" s="33">
        <v>1</v>
      </c>
      <c r="H248" s="29" t="s">
        <v>887</v>
      </c>
      <c r="I248" s="33" t="s">
        <v>938</v>
      </c>
      <c r="J248" s="31">
        <v>1</v>
      </c>
      <c r="K248" s="31">
        <v>1</v>
      </c>
      <c r="W248" s="22" t="str">
        <f t="shared" si="7"/>
        <v>,(244,12,50,21840,1,"11","2025-04-05",1,1)</v>
      </c>
    </row>
    <row r="249" spans="2:23" x14ac:dyDescent="0.4">
      <c r="B249" s="33">
        <v>245</v>
      </c>
      <c r="C249" s="33">
        <v>245</v>
      </c>
      <c r="D249" s="33">
        <v>21</v>
      </c>
      <c r="E249" s="33">
        <v>50</v>
      </c>
      <c r="F249" s="33">
        <v>21840</v>
      </c>
      <c r="G249" s="33">
        <v>1</v>
      </c>
      <c r="H249" s="29" t="s">
        <v>887</v>
      </c>
      <c r="I249" s="33" t="s">
        <v>938</v>
      </c>
      <c r="J249" s="31">
        <v>1</v>
      </c>
      <c r="K249" s="31">
        <v>1</v>
      </c>
      <c r="W249" s="22" t="str">
        <f t="shared" si="7"/>
        <v>,(245,21,50,21840,1,"11","2025-04-05",1,1)</v>
      </c>
    </row>
    <row r="250" spans="2:23" x14ac:dyDescent="0.4">
      <c r="B250" s="33">
        <v>246</v>
      </c>
      <c r="C250" s="33">
        <v>246</v>
      </c>
      <c r="D250" s="33">
        <v>4</v>
      </c>
      <c r="E250" s="33">
        <v>154</v>
      </c>
      <c r="F250" s="33">
        <v>6860</v>
      </c>
      <c r="G250" s="33">
        <v>1</v>
      </c>
      <c r="H250" s="29" t="s">
        <v>887</v>
      </c>
      <c r="I250" s="33" t="s">
        <v>938</v>
      </c>
      <c r="J250" s="31">
        <v>1</v>
      </c>
      <c r="K250" s="31">
        <v>1</v>
      </c>
      <c r="W250" s="22" t="str">
        <f t="shared" si="7"/>
        <v>,(246,4,154,6860,1,"11","2025-04-05",1,1)</v>
      </c>
    </row>
    <row r="251" spans="2:23" x14ac:dyDescent="0.4">
      <c r="B251" s="33">
        <v>247</v>
      </c>
      <c r="C251" s="33">
        <v>247</v>
      </c>
      <c r="D251" s="33">
        <v>4</v>
      </c>
      <c r="E251" s="33">
        <v>117</v>
      </c>
      <c r="F251" s="33">
        <v>1800</v>
      </c>
      <c r="G251" s="33">
        <v>1</v>
      </c>
      <c r="H251" s="29" t="s">
        <v>887</v>
      </c>
      <c r="I251" s="33" t="s">
        <v>938</v>
      </c>
      <c r="J251" s="31">
        <v>1</v>
      </c>
      <c r="K251" s="31">
        <v>1</v>
      </c>
      <c r="W251" s="22" t="str">
        <f t="shared" si="7"/>
        <v>,(247,4,117,1800,1,"11","2025-04-05",1,1)</v>
      </c>
    </row>
    <row r="252" spans="2:23" x14ac:dyDescent="0.4">
      <c r="B252" s="33">
        <v>248</v>
      </c>
      <c r="C252" s="33">
        <v>248</v>
      </c>
      <c r="D252" s="33">
        <v>4</v>
      </c>
      <c r="E252" s="33">
        <v>159</v>
      </c>
      <c r="F252" s="33">
        <v>11900</v>
      </c>
      <c r="G252" s="33">
        <v>1</v>
      </c>
      <c r="H252" s="29" t="s">
        <v>887</v>
      </c>
      <c r="I252" s="33" t="s">
        <v>938</v>
      </c>
      <c r="J252" s="31">
        <v>1</v>
      </c>
      <c r="K252" s="31">
        <v>1</v>
      </c>
      <c r="W252" s="22" t="str">
        <f t="shared" si="7"/>
        <v>,(248,4,159,11900,1,"11","2025-04-05",1,1)</v>
      </c>
    </row>
    <row r="253" spans="2:23" x14ac:dyDescent="0.4">
      <c r="B253" s="33">
        <v>249</v>
      </c>
      <c r="C253" s="33">
        <v>249</v>
      </c>
      <c r="D253" s="33">
        <v>11</v>
      </c>
      <c r="E253" s="33">
        <v>59</v>
      </c>
      <c r="F253" s="33">
        <v>6460</v>
      </c>
      <c r="G253" s="33">
        <v>2</v>
      </c>
      <c r="H253" s="29" t="s">
        <v>887</v>
      </c>
      <c r="I253" s="33" t="s">
        <v>938</v>
      </c>
      <c r="J253" s="31">
        <v>1</v>
      </c>
      <c r="K253" s="31">
        <v>1</v>
      </c>
      <c r="W253" s="22" t="str">
        <f t="shared" si="7"/>
        <v>,(249,11,59,6460,2,"11","2025-04-05",1,1)</v>
      </c>
    </row>
    <row r="254" spans="2:23" x14ac:dyDescent="0.4">
      <c r="B254" s="33">
        <v>250</v>
      </c>
      <c r="C254" s="33">
        <v>250</v>
      </c>
      <c r="D254" s="33">
        <v>12</v>
      </c>
      <c r="E254" s="33">
        <v>67</v>
      </c>
      <c r="F254" s="33">
        <v>10360</v>
      </c>
      <c r="G254" s="33">
        <v>1</v>
      </c>
      <c r="H254" s="29" t="s">
        <v>887</v>
      </c>
      <c r="I254" s="33" t="s">
        <v>938</v>
      </c>
      <c r="J254" s="31">
        <v>1</v>
      </c>
      <c r="K254" s="31">
        <v>1</v>
      </c>
      <c r="W254" s="22" t="str">
        <f t="shared" si="7"/>
        <v>,(250,12,67,10360,1,"11","2025-04-05",1,1)</v>
      </c>
    </row>
    <row r="255" spans="2:23" x14ac:dyDescent="0.4">
      <c r="B255" s="33">
        <v>251</v>
      </c>
      <c r="C255" s="33">
        <v>251</v>
      </c>
      <c r="D255" s="33">
        <v>12</v>
      </c>
      <c r="E255" s="33">
        <v>71</v>
      </c>
      <c r="F255" s="33">
        <v>1000</v>
      </c>
      <c r="G255" s="33">
        <v>20</v>
      </c>
      <c r="H255" s="29" t="s">
        <v>887</v>
      </c>
      <c r="I255" s="33" t="s">
        <v>938</v>
      </c>
      <c r="J255" s="31">
        <v>1</v>
      </c>
      <c r="K255" s="31">
        <v>1</v>
      </c>
      <c r="W255" s="22" t="str">
        <f t="shared" si="7"/>
        <v>,(251,12,71,1000,20,"11","2025-04-05",1,1)</v>
      </c>
    </row>
    <row r="256" spans="2:23" x14ac:dyDescent="0.4">
      <c r="B256" s="33">
        <v>252</v>
      </c>
      <c r="C256" s="33">
        <v>252</v>
      </c>
      <c r="D256" s="33">
        <v>21</v>
      </c>
      <c r="E256" s="33">
        <v>72</v>
      </c>
      <c r="F256" s="33">
        <v>7990</v>
      </c>
      <c r="G256" s="33">
        <v>2</v>
      </c>
      <c r="H256" s="29" t="s">
        <v>887</v>
      </c>
      <c r="I256" s="33" t="s">
        <v>938</v>
      </c>
      <c r="J256" s="31">
        <v>1</v>
      </c>
      <c r="K256" s="31">
        <v>1</v>
      </c>
      <c r="W256" s="22" t="str">
        <f t="shared" si="7"/>
        <v>,(252,21,72,7990,2,"11","2025-04-05",1,1)</v>
      </c>
    </row>
    <row r="257" spans="2:23" x14ac:dyDescent="0.4">
      <c r="B257" s="33">
        <v>253</v>
      </c>
      <c r="C257" s="33">
        <v>253</v>
      </c>
      <c r="D257" s="33">
        <v>4</v>
      </c>
      <c r="E257" s="33">
        <v>111</v>
      </c>
      <c r="F257" s="33">
        <v>2220</v>
      </c>
      <c r="G257" s="33">
        <v>1</v>
      </c>
      <c r="H257" s="29" t="s">
        <v>887</v>
      </c>
      <c r="I257" s="33" t="s">
        <v>938</v>
      </c>
      <c r="J257" s="31">
        <v>1</v>
      </c>
      <c r="K257" s="31">
        <v>1</v>
      </c>
      <c r="W257" s="22" t="str">
        <f t="shared" si="7"/>
        <v>,(253,4,111,2220,1,"11","2025-04-05",1,1)</v>
      </c>
    </row>
    <row r="258" spans="2:23" x14ac:dyDescent="0.4">
      <c r="B258" s="33">
        <v>254</v>
      </c>
      <c r="C258" s="33">
        <v>254</v>
      </c>
      <c r="D258" s="33">
        <v>12</v>
      </c>
      <c r="E258" s="33">
        <v>111</v>
      </c>
      <c r="F258" s="33">
        <v>2220</v>
      </c>
      <c r="G258" s="33">
        <v>2</v>
      </c>
      <c r="H258" s="29" t="s">
        <v>887</v>
      </c>
      <c r="I258" s="33" t="s">
        <v>938</v>
      </c>
      <c r="J258" s="31">
        <v>1</v>
      </c>
      <c r="K258" s="31">
        <v>1</v>
      </c>
      <c r="W258" s="22" t="str">
        <f t="shared" si="7"/>
        <v>,(254,12,111,2220,2,"11","2025-04-05",1,1)</v>
      </c>
    </row>
    <row r="259" spans="2:23" x14ac:dyDescent="0.4">
      <c r="B259" s="33">
        <v>255</v>
      </c>
      <c r="C259" s="33">
        <v>255</v>
      </c>
      <c r="D259" s="33">
        <v>4</v>
      </c>
      <c r="E259" s="33">
        <v>126</v>
      </c>
      <c r="F259" s="33">
        <v>2340</v>
      </c>
      <c r="G259" s="33">
        <v>1</v>
      </c>
      <c r="H259" s="29" t="s">
        <v>887</v>
      </c>
      <c r="I259" s="33" t="s">
        <v>938</v>
      </c>
      <c r="J259" s="31">
        <v>1</v>
      </c>
      <c r="K259" s="31">
        <v>1</v>
      </c>
      <c r="W259" s="22" t="str">
        <f t="shared" si="7"/>
        <v>,(255,4,126,2340,1,"11","2025-04-05",1,1)</v>
      </c>
    </row>
    <row r="260" spans="2:23" x14ac:dyDescent="0.4">
      <c r="B260" s="33">
        <v>256</v>
      </c>
      <c r="C260" s="33">
        <v>256</v>
      </c>
      <c r="D260" s="33">
        <v>4</v>
      </c>
      <c r="E260" s="33">
        <v>132</v>
      </c>
      <c r="F260" s="33">
        <v>770</v>
      </c>
      <c r="G260" s="33">
        <v>20</v>
      </c>
      <c r="H260" s="29" t="s">
        <v>887</v>
      </c>
      <c r="I260" s="33" t="s">
        <v>938</v>
      </c>
      <c r="J260" s="31">
        <v>1</v>
      </c>
      <c r="K260" s="31">
        <v>1</v>
      </c>
      <c r="W260" s="22" t="str">
        <f t="shared" si="7"/>
        <v>,(256,4,132,770,20,"11","2025-04-05",1,1)</v>
      </c>
    </row>
    <row r="261" spans="2:23" x14ac:dyDescent="0.4">
      <c r="B261" s="33">
        <v>257</v>
      </c>
      <c r="C261" s="33">
        <v>257</v>
      </c>
      <c r="D261" s="33">
        <v>12</v>
      </c>
      <c r="E261" s="33">
        <v>141</v>
      </c>
      <c r="F261" s="33">
        <v>500</v>
      </c>
      <c r="G261" s="33">
        <v>20</v>
      </c>
      <c r="H261" s="29" t="s">
        <v>887</v>
      </c>
      <c r="I261" s="33" t="s">
        <v>938</v>
      </c>
      <c r="J261" s="31">
        <v>1</v>
      </c>
      <c r="K261" s="31">
        <v>1</v>
      </c>
      <c r="W261" s="22" t="str">
        <f t="shared" si="7"/>
        <v>,(257,12,141,500,20,"11","2025-04-05",1,1)</v>
      </c>
    </row>
    <row r="262" spans="2:23" x14ac:dyDescent="0.4">
      <c r="B262" s="33">
        <v>258</v>
      </c>
      <c r="C262" s="33">
        <v>258</v>
      </c>
      <c r="D262" s="33">
        <v>18</v>
      </c>
      <c r="E262" s="33">
        <v>83</v>
      </c>
      <c r="F262" s="33">
        <v>530</v>
      </c>
      <c r="G262" s="33">
        <v>10</v>
      </c>
      <c r="H262" s="29" t="s">
        <v>887</v>
      </c>
      <c r="I262" s="33" t="s">
        <v>952</v>
      </c>
      <c r="J262" s="31">
        <v>1</v>
      </c>
      <c r="K262" s="31">
        <v>1</v>
      </c>
      <c r="W262" s="22" t="str">
        <f t="shared" si="7"/>
        <v>,(258,18,83,530,10,"11","2025-04-12",1,1)</v>
      </c>
    </row>
    <row r="263" spans="2:23" x14ac:dyDescent="0.4">
      <c r="B263" s="33">
        <v>259</v>
      </c>
      <c r="C263" s="33">
        <v>259</v>
      </c>
      <c r="D263" s="33">
        <v>21</v>
      </c>
      <c r="E263" s="33">
        <v>171</v>
      </c>
      <c r="F263" s="33">
        <v>4480</v>
      </c>
      <c r="G263" s="33">
        <v>1</v>
      </c>
      <c r="H263" s="29" t="s">
        <v>887</v>
      </c>
      <c r="I263" s="33" t="s">
        <v>952</v>
      </c>
      <c r="J263" s="31">
        <v>1</v>
      </c>
      <c r="K263" s="31">
        <v>1</v>
      </c>
      <c r="W263" s="22" t="str">
        <f t="shared" si="7"/>
        <v>,(259,21,171,4480,1,"11","2025-04-12",1,1)</v>
      </c>
    </row>
    <row r="264" spans="2:23" x14ac:dyDescent="0.4">
      <c r="B264" s="33">
        <v>260</v>
      </c>
      <c r="C264" s="33">
        <v>260</v>
      </c>
      <c r="D264" s="33">
        <v>19</v>
      </c>
      <c r="E264" s="33">
        <v>146</v>
      </c>
      <c r="F264" s="33">
        <v>11830</v>
      </c>
      <c r="G264" s="33">
        <v>1</v>
      </c>
      <c r="H264" s="29" t="s">
        <v>887</v>
      </c>
      <c r="I264" s="33" t="s">
        <v>937</v>
      </c>
      <c r="J264" s="31">
        <v>1</v>
      </c>
      <c r="K264" s="31">
        <v>1</v>
      </c>
      <c r="W264" s="22" t="str">
        <f t="shared" si="7"/>
        <v>,(260,19,146,11830,1,"11","2025-05-03",1,1)</v>
      </c>
    </row>
    <row r="265" spans="2:23" x14ac:dyDescent="0.4">
      <c r="B265" s="33">
        <v>261</v>
      </c>
      <c r="C265" s="33">
        <v>261</v>
      </c>
      <c r="D265" s="33">
        <v>19</v>
      </c>
      <c r="E265" s="33">
        <v>4</v>
      </c>
      <c r="F265" s="33">
        <v>8990</v>
      </c>
      <c r="G265" s="33">
        <v>1</v>
      </c>
      <c r="H265" s="29" t="s">
        <v>887</v>
      </c>
      <c r="I265" s="33" t="s">
        <v>937</v>
      </c>
      <c r="J265" s="31">
        <v>1</v>
      </c>
      <c r="K265" s="31">
        <v>1</v>
      </c>
      <c r="W265" s="22" t="str">
        <f t="shared" si="7"/>
        <v>,(261,19,4,8990,1,"11","2025-05-03",1,1)</v>
      </c>
    </row>
    <row r="266" spans="2:23" x14ac:dyDescent="0.4">
      <c r="B266" s="33">
        <v>262</v>
      </c>
      <c r="C266" s="33">
        <v>262</v>
      </c>
      <c r="D266" s="33">
        <v>4</v>
      </c>
      <c r="E266" s="33">
        <v>90</v>
      </c>
      <c r="F266" s="33">
        <v>360</v>
      </c>
      <c r="G266" s="33">
        <v>30</v>
      </c>
      <c r="H266" s="29" t="s">
        <v>887</v>
      </c>
      <c r="I266" s="33" t="s">
        <v>937</v>
      </c>
      <c r="J266" s="31">
        <v>1</v>
      </c>
      <c r="K266" s="31">
        <v>1</v>
      </c>
      <c r="W266" s="22" t="str">
        <f t="shared" si="7"/>
        <v>,(262,4,90,360,30,"11","2025-05-03",1,1)</v>
      </c>
    </row>
    <row r="267" spans="2:23" x14ac:dyDescent="0.4">
      <c r="B267" s="33">
        <v>263</v>
      </c>
      <c r="C267" s="33">
        <v>263</v>
      </c>
      <c r="D267" s="33">
        <v>4</v>
      </c>
      <c r="E267" s="33">
        <v>46</v>
      </c>
      <c r="F267" s="33">
        <v>38930</v>
      </c>
      <c r="G267" s="33">
        <v>1</v>
      </c>
      <c r="H267" s="29" t="s">
        <v>887</v>
      </c>
      <c r="I267" s="33" t="s">
        <v>937</v>
      </c>
      <c r="J267" s="31">
        <v>1</v>
      </c>
      <c r="K267" s="31">
        <v>1</v>
      </c>
      <c r="W267" s="22" t="str">
        <f t="shared" si="7"/>
        <v>,(263,4,46,38930,1,"11","2025-05-03",1,1)</v>
      </c>
    </row>
    <row r="268" spans="2:23" x14ac:dyDescent="0.4">
      <c r="B268" s="33">
        <v>264</v>
      </c>
      <c r="C268" s="33">
        <v>264</v>
      </c>
      <c r="D268" s="33">
        <v>19</v>
      </c>
      <c r="E268" s="33">
        <v>114</v>
      </c>
      <c r="F268" s="33">
        <v>9000</v>
      </c>
      <c r="G268" s="33">
        <v>1</v>
      </c>
      <c r="H268" s="29" t="s">
        <v>887</v>
      </c>
      <c r="I268" s="33" t="s">
        <v>937</v>
      </c>
      <c r="J268" s="31">
        <v>1</v>
      </c>
      <c r="K268" s="31">
        <v>1</v>
      </c>
      <c r="W268" s="22" t="str">
        <f t="shared" si="7"/>
        <v>,(264,19,114,9000,1,"11","2025-05-03",1,1)</v>
      </c>
    </row>
    <row r="269" spans="2:23" x14ac:dyDescent="0.4">
      <c r="B269" s="33">
        <v>265</v>
      </c>
      <c r="C269" s="33">
        <v>265</v>
      </c>
      <c r="D269" s="33">
        <v>4</v>
      </c>
      <c r="E269" s="33">
        <v>96</v>
      </c>
      <c r="F269" s="33">
        <v>400</v>
      </c>
      <c r="G269" s="33">
        <v>30</v>
      </c>
      <c r="H269" s="29" t="s">
        <v>887</v>
      </c>
      <c r="I269" s="33" t="s">
        <v>937</v>
      </c>
      <c r="J269" s="31">
        <v>1</v>
      </c>
      <c r="K269" s="31">
        <v>1</v>
      </c>
      <c r="W269" s="22" t="str">
        <f t="shared" si="7"/>
        <v>,(265,4,96,400,30,"11","2025-05-03",1,1)</v>
      </c>
    </row>
    <row r="270" spans="2:23" x14ac:dyDescent="0.4">
      <c r="B270" s="33">
        <v>266</v>
      </c>
      <c r="C270" s="33">
        <v>266</v>
      </c>
      <c r="D270" s="33">
        <v>4</v>
      </c>
      <c r="E270" s="33">
        <v>131</v>
      </c>
      <c r="F270" s="33">
        <v>420</v>
      </c>
      <c r="G270" s="33">
        <v>90</v>
      </c>
      <c r="H270" s="29" t="s">
        <v>887</v>
      </c>
      <c r="I270" s="33" t="s">
        <v>937</v>
      </c>
      <c r="J270" s="31">
        <v>1</v>
      </c>
      <c r="K270" s="31">
        <v>1</v>
      </c>
      <c r="W270" s="22" t="str">
        <f t="shared" si="7"/>
        <v>,(266,4,131,420,90,"11","2025-05-03",1,1)</v>
      </c>
    </row>
    <row r="271" spans="2:23" x14ac:dyDescent="0.4">
      <c r="B271" s="33">
        <v>267</v>
      </c>
      <c r="C271" s="33">
        <v>267</v>
      </c>
      <c r="D271" s="33">
        <v>18</v>
      </c>
      <c r="E271" s="33">
        <v>50</v>
      </c>
      <c r="F271" s="33">
        <v>21840</v>
      </c>
      <c r="G271" s="33">
        <v>1</v>
      </c>
      <c r="H271" s="29" t="s">
        <v>887</v>
      </c>
      <c r="I271" s="33" t="s">
        <v>951</v>
      </c>
      <c r="J271" s="31">
        <v>1</v>
      </c>
      <c r="K271" s="31">
        <v>1</v>
      </c>
      <c r="W271" s="22" t="str">
        <f t="shared" si="7"/>
        <v>,(267,18,50,21840,1,"11","2025-05-24",1,1)</v>
      </c>
    </row>
    <row r="272" spans="2:23" x14ac:dyDescent="0.4">
      <c r="B272" s="33">
        <v>268</v>
      </c>
      <c r="C272" s="33">
        <v>268</v>
      </c>
      <c r="D272" s="33">
        <v>18</v>
      </c>
      <c r="E272" s="33">
        <v>101</v>
      </c>
      <c r="F272" s="33">
        <v>5130</v>
      </c>
      <c r="G272" s="33">
        <v>2</v>
      </c>
      <c r="H272" s="29" t="s">
        <v>887</v>
      </c>
      <c r="I272" s="33" t="s">
        <v>951</v>
      </c>
      <c r="J272" s="31">
        <v>1</v>
      </c>
      <c r="K272" s="31">
        <v>1</v>
      </c>
      <c r="W272" s="22" t="str">
        <f t="shared" si="7"/>
        <v>,(268,18,101,5130,2,"11","2025-05-24",1,1)</v>
      </c>
    </row>
    <row r="273" spans="2:23" x14ac:dyDescent="0.4">
      <c r="B273" s="33">
        <v>269</v>
      </c>
      <c r="C273" s="33">
        <v>269</v>
      </c>
      <c r="D273" s="33">
        <v>4</v>
      </c>
      <c r="E273" s="33">
        <v>80</v>
      </c>
      <c r="F273" s="33">
        <v>3140</v>
      </c>
      <c r="G273" s="33">
        <v>1</v>
      </c>
      <c r="H273" s="29" t="s">
        <v>887</v>
      </c>
      <c r="I273" s="33" t="s">
        <v>926</v>
      </c>
      <c r="J273" s="31">
        <v>1</v>
      </c>
      <c r="K273" s="31">
        <v>1</v>
      </c>
      <c r="W273" s="22" t="str">
        <f t="shared" si="7"/>
        <v>,(269,4,80,3140,1,"11","2025-06-17",1,1)</v>
      </c>
    </row>
    <row r="274" spans="2:23" x14ac:dyDescent="0.4">
      <c r="B274" s="33">
        <v>270</v>
      </c>
      <c r="C274" s="33">
        <v>270</v>
      </c>
      <c r="D274" s="33">
        <v>4</v>
      </c>
      <c r="E274" s="33">
        <v>151</v>
      </c>
      <c r="F274" s="33">
        <v>4490</v>
      </c>
      <c r="G274" s="33">
        <v>1</v>
      </c>
      <c r="H274" s="29" t="s">
        <v>887</v>
      </c>
      <c r="I274" s="33" t="s">
        <v>926</v>
      </c>
      <c r="J274" s="31">
        <v>1</v>
      </c>
      <c r="K274" s="31">
        <v>1</v>
      </c>
      <c r="W274" s="22" t="str">
        <f t="shared" si="7"/>
        <v>,(270,4,151,4490,1,"11","2025-06-17",1,1)</v>
      </c>
    </row>
    <row r="275" spans="2:23" x14ac:dyDescent="0.4">
      <c r="B275" s="33">
        <v>271</v>
      </c>
      <c r="C275" s="33">
        <v>271</v>
      </c>
      <c r="D275" s="33">
        <v>4</v>
      </c>
      <c r="E275" s="33">
        <v>90</v>
      </c>
      <c r="F275" s="33">
        <v>380</v>
      </c>
      <c r="G275" s="33">
        <v>60</v>
      </c>
      <c r="H275" s="29" t="s">
        <v>887</v>
      </c>
      <c r="I275" s="33" t="s">
        <v>926</v>
      </c>
      <c r="J275" s="31">
        <v>1</v>
      </c>
      <c r="K275" s="31">
        <v>1</v>
      </c>
      <c r="W275" s="22" t="str">
        <f t="shared" si="7"/>
        <v>,(271,4,90,380,60,"11","2025-06-17",1,1)</v>
      </c>
    </row>
    <row r="276" spans="2:23" x14ac:dyDescent="0.4">
      <c r="B276" s="33">
        <v>272</v>
      </c>
      <c r="C276" s="33">
        <v>272</v>
      </c>
      <c r="D276" s="33">
        <v>11</v>
      </c>
      <c r="E276" s="33">
        <v>99</v>
      </c>
      <c r="F276" s="33">
        <v>7900</v>
      </c>
      <c r="G276" s="33">
        <v>2</v>
      </c>
      <c r="H276" s="29" t="s">
        <v>887</v>
      </c>
      <c r="I276" s="33" t="s">
        <v>926</v>
      </c>
      <c r="J276" s="31">
        <v>1</v>
      </c>
      <c r="K276" s="31">
        <v>1</v>
      </c>
      <c r="W276" s="22" t="str">
        <f t="shared" si="7"/>
        <v>,(272,11,99,7900,2,"11","2025-06-17",1,1)</v>
      </c>
    </row>
    <row r="277" spans="2:23" x14ac:dyDescent="0.4">
      <c r="B277" s="33">
        <v>273</v>
      </c>
      <c r="C277" s="33">
        <v>273</v>
      </c>
      <c r="D277" s="33">
        <v>21</v>
      </c>
      <c r="E277" s="33">
        <v>101</v>
      </c>
      <c r="F277" s="33">
        <v>5700</v>
      </c>
      <c r="G277" s="33">
        <v>2</v>
      </c>
      <c r="H277" s="29" t="s">
        <v>887</v>
      </c>
      <c r="I277" s="33" t="s">
        <v>926</v>
      </c>
      <c r="J277" s="31">
        <v>1</v>
      </c>
      <c r="K277" s="31">
        <v>1</v>
      </c>
      <c r="W277" s="22" t="str">
        <f t="shared" si="7"/>
        <v>,(273,21,101,5700,2,"11","2025-06-17",1,1)</v>
      </c>
    </row>
    <row r="278" spans="2:23" x14ac:dyDescent="0.4">
      <c r="B278" s="33">
        <v>274</v>
      </c>
      <c r="C278" s="33">
        <v>274</v>
      </c>
      <c r="D278" s="33">
        <v>11</v>
      </c>
      <c r="E278" s="33">
        <v>154</v>
      </c>
      <c r="F278" s="33">
        <v>6860</v>
      </c>
      <c r="G278" s="33">
        <v>1</v>
      </c>
      <c r="H278" s="29" t="s">
        <v>887</v>
      </c>
      <c r="I278" s="33" t="s">
        <v>926</v>
      </c>
      <c r="J278" s="31">
        <v>1</v>
      </c>
      <c r="K278" s="31">
        <v>1</v>
      </c>
      <c r="W278" s="22" t="str">
        <f t="shared" si="7"/>
        <v>,(274,11,154,6860,1,"11","2025-06-17",1,1)</v>
      </c>
    </row>
    <row r="279" spans="2:23" x14ac:dyDescent="0.4">
      <c r="B279" s="33">
        <v>275</v>
      </c>
      <c r="C279" s="33">
        <v>275</v>
      </c>
      <c r="D279" s="33">
        <v>21</v>
      </c>
      <c r="E279" s="33">
        <v>155</v>
      </c>
      <c r="F279" s="33">
        <v>4020</v>
      </c>
      <c r="G279" s="33">
        <v>1</v>
      </c>
      <c r="H279" s="29" t="s">
        <v>887</v>
      </c>
      <c r="I279" s="33" t="s">
        <v>926</v>
      </c>
      <c r="J279" s="31">
        <v>1</v>
      </c>
      <c r="K279" s="31">
        <v>1</v>
      </c>
      <c r="W279" s="22" t="str">
        <f t="shared" si="7"/>
        <v>,(275,21,155,4020,1,"11","2025-06-17",1,1)</v>
      </c>
    </row>
    <row r="280" spans="2:23" x14ac:dyDescent="0.4">
      <c r="B280" s="33">
        <v>276</v>
      </c>
      <c r="C280" s="33">
        <v>276</v>
      </c>
      <c r="D280" s="33">
        <v>4</v>
      </c>
      <c r="E280" s="33">
        <v>56</v>
      </c>
      <c r="F280" s="33">
        <v>6910</v>
      </c>
      <c r="G280" s="33">
        <v>1</v>
      </c>
      <c r="H280" s="29" t="s">
        <v>887</v>
      </c>
      <c r="I280" s="33" t="s">
        <v>926</v>
      </c>
      <c r="J280" s="31">
        <v>1</v>
      </c>
      <c r="K280" s="31">
        <v>1</v>
      </c>
      <c r="W280" s="22" t="str">
        <f t="shared" si="7"/>
        <v>,(276,4,56,6910,1,"11","2025-06-17",1,1)</v>
      </c>
    </row>
    <row r="281" spans="2:23" x14ac:dyDescent="0.4">
      <c r="B281" s="33">
        <v>277</v>
      </c>
      <c r="C281" s="33">
        <v>277</v>
      </c>
      <c r="D281" s="33">
        <v>4</v>
      </c>
      <c r="E281" s="33">
        <v>160</v>
      </c>
      <c r="F281" s="33">
        <v>5070</v>
      </c>
      <c r="G281" s="33">
        <v>1</v>
      </c>
      <c r="H281" s="29" t="s">
        <v>887</v>
      </c>
      <c r="I281" s="33" t="s">
        <v>926</v>
      </c>
      <c r="J281" s="31">
        <v>1</v>
      </c>
      <c r="K281" s="31">
        <v>1</v>
      </c>
      <c r="W281" s="22" t="str">
        <f t="shared" si="7"/>
        <v>,(277,4,160,5070,1,"11","2025-06-17",1,1)</v>
      </c>
    </row>
    <row r="282" spans="2:23" x14ac:dyDescent="0.4">
      <c r="B282" s="33">
        <v>278</v>
      </c>
      <c r="C282" s="33">
        <v>278</v>
      </c>
      <c r="D282" s="33">
        <v>4</v>
      </c>
      <c r="E282" s="33">
        <v>71</v>
      </c>
      <c r="F282" s="33">
        <v>1000</v>
      </c>
      <c r="G282" s="33">
        <v>20</v>
      </c>
      <c r="H282" s="29" t="s">
        <v>887</v>
      </c>
      <c r="I282" s="33" t="s">
        <v>926</v>
      </c>
      <c r="J282" s="31">
        <v>1</v>
      </c>
      <c r="K282" s="31">
        <v>1</v>
      </c>
      <c r="W282" s="22" t="str">
        <f t="shared" si="7"/>
        <v>,(278,4,71,1000,20,"11","2025-06-17",1,1)</v>
      </c>
    </row>
    <row r="283" spans="2:23" x14ac:dyDescent="0.4">
      <c r="B283" s="33">
        <v>279</v>
      </c>
      <c r="C283" s="33">
        <v>279</v>
      </c>
      <c r="D283" s="33">
        <v>4</v>
      </c>
      <c r="E283" s="33">
        <v>163</v>
      </c>
      <c r="F283" s="33">
        <v>2690</v>
      </c>
      <c r="G283" s="33">
        <v>1</v>
      </c>
      <c r="H283" s="29" t="s">
        <v>887</v>
      </c>
      <c r="I283" s="33" t="s">
        <v>926</v>
      </c>
      <c r="J283" s="31">
        <v>1</v>
      </c>
      <c r="K283" s="31">
        <v>1</v>
      </c>
      <c r="W283" s="22" t="str">
        <f t="shared" si="7"/>
        <v>,(279,4,163,2690,1,"11","2025-06-17",1,1)</v>
      </c>
    </row>
    <row r="284" spans="2:23" x14ac:dyDescent="0.4">
      <c r="B284" s="33">
        <v>280</v>
      </c>
      <c r="C284" s="33">
        <v>280</v>
      </c>
      <c r="D284" s="33">
        <v>4</v>
      </c>
      <c r="E284" s="33">
        <v>131</v>
      </c>
      <c r="F284" s="33">
        <v>770</v>
      </c>
      <c r="G284" s="33">
        <v>20</v>
      </c>
      <c r="H284" s="29" t="s">
        <v>887</v>
      </c>
      <c r="I284" s="33" t="s">
        <v>926</v>
      </c>
      <c r="J284" s="31">
        <v>1</v>
      </c>
      <c r="K284" s="31">
        <v>1</v>
      </c>
      <c r="W284" s="22" t="str">
        <f t="shared" si="7"/>
        <v>,(280,4,131,770,20,"11","2025-06-17",1,1)</v>
      </c>
    </row>
    <row r="285" spans="2:23" x14ac:dyDescent="0.4">
      <c r="B285" s="33">
        <v>281</v>
      </c>
      <c r="C285" s="33">
        <v>281</v>
      </c>
      <c r="D285" s="33">
        <v>4</v>
      </c>
      <c r="E285" s="33">
        <v>170</v>
      </c>
      <c r="F285" s="33">
        <v>8900</v>
      </c>
      <c r="G285" s="33">
        <v>1</v>
      </c>
      <c r="H285" s="29" t="s">
        <v>887</v>
      </c>
      <c r="I285" s="33" t="s">
        <v>926</v>
      </c>
      <c r="J285" s="31">
        <v>1</v>
      </c>
      <c r="K285" s="31">
        <v>1</v>
      </c>
      <c r="W285" s="22" t="str">
        <f t="shared" si="7"/>
        <v>,(281,4,170,8900,1,"11","2025-06-17",1,1)</v>
      </c>
    </row>
    <row r="286" spans="2:23" x14ac:dyDescent="0.4">
      <c r="B286" s="33">
        <v>282</v>
      </c>
      <c r="C286" s="33">
        <v>282</v>
      </c>
      <c r="D286" s="33">
        <v>4</v>
      </c>
      <c r="E286" s="33">
        <v>89</v>
      </c>
      <c r="F286" s="33">
        <v>370</v>
      </c>
      <c r="G286" s="33">
        <v>60</v>
      </c>
      <c r="H286" s="29" t="s">
        <v>887</v>
      </c>
      <c r="I286" s="33" t="s">
        <v>925</v>
      </c>
      <c r="J286" s="31">
        <v>1</v>
      </c>
      <c r="K286" s="31">
        <v>1</v>
      </c>
      <c r="W286" s="22" t="str">
        <f t="shared" si="7"/>
        <v>,(282,4,89,370,60,"11","2025-06-21",1,1)</v>
      </c>
    </row>
    <row r="287" spans="2:23" x14ac:dyDescent="0.4">
      <c r="B287" s="33">
        <v>283</v>
      </c>
      <c r="C287" s="33">
        <v>283</v>
      </c>
      <c r="D287" s="33">
        <v>11</v>
      </c>
      <c r="E287" s="33">
        <v>99</v>
      </c>
      <c r="F287" s="33">
        <v>7900</v>
      </c>
      <c r="G287" s="33">
        <v>2</v>
      </c>
      <c r="H287" s="29" t="s">
        <v>887</v>
      </c>
      <c r="I287" s="33" t="s">
        <v>925</v>
      </c>
      <c r="J287" s="31">
        <v>1</v>
      </c>
      <c r="K287" s="31">
        <v>1</v>
      </c>
      <c r="W287" s="22" t="str">
        <f t="shared" si="7"/>
        <v>,(283,11,99,7900,2,"11","2025-06-21",1,1)</v>
      </c>
    </row>
    <row r="288" spans="2:23" x14ac:dyDescent="0.4">
      <c r="B288" s="33">
        <v>284</v>
      </c>
      <c r="C288" s="33">
        <v>284</v>
      </c>
      <c r="D288" s="33">
        <v>21</v>
      </c>
      <c r="E288" s="33">
        <v>98</v>
      </c>
      <c r="F288" s="33">
        <v>6900</v>
      </c>
      <c r="G288" s="33">
        <v>1</v>
      </c>
      <c r="H288" s="29" t="s">
        <v>887</v>
      </c>
      <c r="I288" s="33" t="s">
        <v>925</v>
      </c>
      <c r="J288" s="31">
        <v>1</v>
      </c>
      <c r="K288" s="31">
        <v>1</v>
      </c>
      <c r="W288" s="22" t="str">
        <f t="shared" si="7"/>
        <v>,(284,21,98,6900,1,"11","2025-06-21",1,1)</v>
      </c>
    </row>
    <row r="289" spans="2:23" x14ac:dyDescent="0.4">
      <c r="B289" s="33">
        <v>285</v>
      </c>
      <c r="C289" s="33">
        <v>285</v>
      </c>
      <c r="D289" s="33">
        <v>21</v>
      </c>
      <c r="E289" s="33">
        <v>101</v>
      </c>
      <c r="F289" s="33">
        <v>5700</v>
      </c>
      <c r="G289" s="33">
        <v>2</v>
      </c>
      <c r="H289" s="29" t="s">
        <v>887</v>
      </c>
      <c r="I289" s="33" t="s">
        <v>925</v>
      </c>
      <c r="J289" s="31">
        <v>1</v>
      </c>
      <c r="K289" s="31">
        <v>1</v>
      </c>
      <c r="W289" s="22" t="str">
        <f t="shared" si="7"/>
        <v>,(285,21,101,5700,2,"11","2025-06-21",1,1)</v>
      </c>
    </row>
    <row r="290" spans="2:23" x14ac:dyDescent="0.4">
      <c r="B290" s="33">
        <v>286</v>
      </c>
      <c r="C290" s="33">
        <v>286</v>
      </c>
      <c r="D290" s="33">
        <v>11</v>
      </c>
      <c r="E290" s="33">
        <v>154</v>
      </c>
      <c r="F290" s="33">
        <v>6860</v>
      </c>
      <c r="G290" s="33">
        <v>1</v>
      </c>
      <c r="H290" s="29" t="s">
        <v>887</v>
      </c>
      <c r="I290" s="33" t="s">
        <v>925</v>
      </c>
      <c r="J290" s="31">
        <v>1</v>
      </c>
      <c r="K290" s="31">
        <v>1</v>
      </c>
      <c r="W290" s="22" t="str">
        <f t="shared" si="7"/>
        <v>,(286,11,154,6860,1,"11","2025-06-21",1,1)</v>
      </c>
    </row>
    <row r="291" spans="2:23" x14ac:dyDescent="0.4">
      <c r="B291" s="33">
        <v>287</v>
      </c>
      <c r="C291" s="33">
        <v>287</v>
      </c>
      <c r="D291" s="33">
        <v>21</v>
      </c>
      <c r="E291" s="33">
        <v>155</v>
      </c>
      <c r="F291" s="33">
        <v>4020</v>
      </c>
      <c r="G291" s="33">
        <v>1</v>
      </c>
      <c r="H291" s="29" t="s">
        <v>887</v>
      </c>
      <c r="I291" s="33" t="s">
        <v>925</v>
      </c>
      <c r="J291" s="31">
        <v>1</v>
      </c>
      <c r="K291" s="31">
        <v>1</v>
      </c>
      <c r="W291" s="22" t="str">
        <f t="shared" si="7"/>
        <v>,(287,21,155,4020,1,"11","2025-06-21",1,1)</v>
      </c>
    </row>
    <row r="292" spans="2:23" x14ac:dyDescent="0.4">
      <c r="B292" s="33">
        <v>288</v>
      </c>
      <c r="C292" s="33">
        <v>288</v>
      </c>
      <c r="D292" s="33">
        <v>4</v>
      </c>
      <c r="E292" s="33">
        <v>96</v>
      </c>
      <c r="F292" s="33">
        <v>400</v>
      </c>
      <c r="G292" s="33">
        <v>60</v>
      </c>
      <c r="H292" s="29" t="s">
        <v>887</v>
      </c>
      <c r="I292" s="33" t="s">
        <v>925</v>
      </c>
      <c r="J292" s="31">
        <v>1</v>
      </c>
      <c r="K292" s="31">
        <v>1</v>
      </c>
      <c r="W292" s="22" t="str">
        <f t="shared" si="7"/>
        <v>,(288,4,96,400,60,"11","2025-06-21",1,1)</v>
      </c>
    </row>
    <row r="293" spans="2:23" x14ac:dyDescent="0.4">
      <c r="B293" s="33">
        <v>289</v>
      </c>
      <c r="C293" s="33">
        <v>289</v>
      </c>
      <c r="D293" s="33">
        <v>21</v>
      </c>
      <c r="E293" s="33">
        <v>57</v>
      </c>
      <c r="F293" s="33">
        <v>7150</v>
      </c>
      <c r="G293" s="33">
        <v>1</v>
      </c>
      <c r="H293" s="29" t="s">
        <v>887</v>
      </c>
      <c r="I293" s="33" t="s">
        <v>925</v>
      </c>
      <c r="J293" s="31">
        <v>1</v>
      </c>
      <c r="K293" s="31">
        <v>1</v>
      </c>
      <c r="W293" s="22" t="str">
        <f t="shared" si="7"/>
        <v>,(289,21,57,7150,1,"11","2025-06-21",1,1)</v>
      </c>
    </row>
    <row r="294" spans="2:23" x14ac:dyDescent="0.4">
      <c r="B294" s="33">
        <v>290</v>
      </c>
      <c r="C294" s="33">
        <v>290</v>
      </c>
      <c r="D294" s="33">
        <v>4</v>
      </c>
      <c r="E294" s="33">
        <v>120</v>
      </c>
      <c r="F294" s="33">
        <v>4600</v>
      </c>
      <c r="G294" s="33">
        <v>1</v>
      </c>
      <c r="H294" s="29" t="s">
        <v>887</v>
      </c>
      <c r="I294" s="33" t="s">
        <v>925</v>
      </c>
      <c r="J294" s="31">
        <v>1</v>
      </c>
      <c r="K294" s="31">
        <v>1</v>
      </c>
      <c r="W294" s="22" t="str">
        <f t="shared" si="7"/>
        <v>,(290,4,120,4600,1,"11","2025-06-21",1,1)</v>
      </c>
    </row>
    <row r="295" spans="2:23" x14ac:dyDescent="0.4">
      <c r="B295" s="33">
        <v>291</v>
      </c>
      <c r="C295" s="33">
        <v>291</v>
      </c>
      <c r="D295" s="33">
        <v>4</v>
      </c>
      <c r="E295" s="33">
        <v>123</v>
      </c>
      <c r="F295" s="33">
        <v>4690</v>
      </c>
      <c r="G295" s="33">
        <v>1</v>
      </c>
      <c r="H295" s="29" t="s">
        <v>887</v>
      </c>
      <c r="I295" s="33" t="s">
        <v>925</v>
      </c>
      <c r="J295" s="31">
        <v>1</v>
      </c>
      <c r="K295" s="31">
        <v>1</v>
      </c>
      <c r="W295" s="22" t="str">
        <f t="shared" si="7"/>
        <v>,(291,4,123,4690,1,"11","2025-06-21",1,1)</v>
      </c>
    </row>
    <row r="296" spans="2:23" x14ac:dyDescent="0.4">
      <c r="B296" s="33">
        <v>292</v>
      </c>
      <c r="C296" s="33">
        <v>292</v>
      </c>
      <c r="D296" s="33">
        <v>21</v>
      </c>
      <c r="E296" s="33">
        <v>68</v>
      </c>
      <c r="F296" s="33">
        <v>9800</v>
      </c>
      <c r="G296" s="33">
        <v>1</v>
      </c>
      <c r="H296" s="29" t="s">
        <v>887</v>
      </c>
      <c r="I296" s="33" t="s">
        <v>925</v>
      </c>
      <c r="J296" s="31">
        <v>1</v>
      </c>
      <c r="K296" s="31">
        <v>1</v>
      </c>
      <c r="W296" s="22" t="str">
        <f t="shared" si="7"/>
        <v>,(292,21,68,9800,1,"11","2025-06-21",1,1)</v>
      </c>
    </row>
    <row r="297" spans="2:23" x14ac:dyDescent="0.4">
      <c r="B297" s="33">
        <v>293</v>
      </c>
      <c r="C297" s="33">
        <v>293</v>
      </c>
      <c r="D297" s="33">
        <v>4</v>
      </c>
      <c r="E297" s="33">
        <v>71</v>
      </c>
      <c r="F297" s="33">
        <v>1000</v>
      </c>
      <c r="G297" s="33">
        <v>20</v>
      </c>
      <c r="H297" s="29" t="s">
        <v>887</v>
      </c>
      <c r="I297" s="33" t="s">
        <v>925</v>
      </c>
      <c r="J297" s="31">
        <v>1</v>
      </c>
      <c r="K297" s="31">
        <v>1</v>
      </c>
      <c r="W297" s="22" t="str">
        <f t="shared" si="7"/>
        <v>,(293,4,71,1000,20,"11","2025-06-21",1,1)</v>
      </c>
    </row>
    <row r="298" spans="2:23" x14ac:dyDescent="0.4">
      <c r="B298" s="33">
        <v>294</v>
      </c>
      <c r="C298" s="33">
        <v>294</v>
      </c>
      <c r="D298" s="33">
        <v>4</v>
      </c>
      <c r="E298" s="33">
        <v>138</v>
      </c>
      <c r="F298" s="33">
        <v>4000</v>
      </c>
      <c r="G298" s="33">
        <v>1</v>
      </c>
      <c r="H298" s="29" t="s">
        <v>887</v>
      </c>
      <c r="I298" s="33" t="s">
        <v>925</v>
      </c>
      <c r="J298" s="31">
        <v>1</v>
      </c>
      <c r="K298" s="31">
        <v>1</v>
      </c>
      <c r="W298" s="22" t="str">
        <f t="shared" si="7"/>
        <v>,(294,4,138,4000,1,"11","2025-06-21",1,1)</v>
      </c>
    </row>
    <row r="299" spans="2:23" x14ac:dyDescent="0.4">
      <c r="B299" s="33">
        <v>295</v>
      </c>
      <c r="C299" s="33">
        <v>295</v>
      </c>
      <c r="D299" s="33">
        <v>11</v>
      </c>
      <c r="E299" s="33">
        <v>171</v>
      </c>
      <c r="F299" s="33">
        <v>4480</v>
      </c>
      <c r="G299" s="33">
        <v>1</v>
      </c>
      <c r="H299" s="29" t="s">
        <v>887</v>
      </c>
      <c r="I299" s="33" t="s">
        <v>925</v>
      </c>
      <c r="J299" s="31">
        <v>1</v>
      </c>
      <c r="K299" s="31">
        <v>1</v>
      </c>
      <c r="W299" s="22" t="str">
        <f t="shared" si="7"/>
        <v>,(295,11,171,4480,1,"11","2025-06-21",1,1)</v>
      </c>
    </row>
    <row r="300" spans="2:23" x14ac:dyDescent="0.4">
      <c r="B300" s="33">
        <v>296</v>
      </c>
      <c r="C300" s="33">
        <v>296</v>
      </c>
      <c r="D300" s="33">
        <v>21</v>
      </c>
      <c r="E300" s="33">
        <v>60</v>
      </c>
      <c r="F300" s="33">
        <v>4900</v>
      </c>
      <c r="G300" s="33">
        <v>1</v>
      </c>
      <c r="H300" s="29" t="s">
        <v>887</v>
      </c>
      <c r="I300" s="33" t="s">
        <v>925</v>
      </c>
      <c r="J300" s="31">
        <v>1</v>
      </c>
      <c r="K300" s="31">
        <v>1</v>
      </c>
      <c r="W300" s="22" t="str">
        <f t="shared" si="7"/>
        <v>,(296,21,60,4900,1,"11","2025-06-21",1,1)</v>
      </c>
    </row>
    <row r="301" spans="2:23" x14ac:dyDescent="0.4">
      <c r="B301" s="33">
        <v>297</v>
      </c>
      <c r="C301" s="33">
        <v>297</v>
      </c>
      <c r="D301" s="33">
        <v>4</v>
      </c>
      <c r="E301" s="33">
        <v>88</v>
      </c>
      <c r="F301" s="33">
        <v>350</v>
      </c>
      <c r="G301" s="33">
        <v>60</v>
      </c>
      <c r="H301" s="29" t="s">
        <v>887</v>
      </c>
      <c r="I301" s="33" t="s">
        <v>936</v>
      </c>
      <c r="J301" s="31">
        <v>1</v>
      </c>
      <c r="K301" s="31">
        <v>1</v>
      </c>
      <c r="W301" s="22" t="str">
        <f t="shared" si="7"/>
        <v>,(297,4,88,350,60,"11","2025-06-28",1,1)</v>
      </c>
    </row>
    <row r="302" spans="2:23" x14ac:dyDescent="0.4">
      <c r="B302" s="33">
        <v>298</v>
      </c>
      <c r="C302" s="33">
        <v>298</v>
      </c>
      <c r="D302" s="33">
        <v>21</v>
      </c>
      <c r="E302" s="33">
        <v>98</v>
      </c>
      <c r="F302" s="33">
        <v>6900</v>
      </c>
      <c r="G302" s="33">
        <v>1</v>
      </c>
      <c r="H302" s="29" t="s">
        <v>887</v>
      </c>
      <c r="I302" s="33" t="s">
        <v>936</v>
      </c>
      <c r="J302" s="31">
        <v>1</v>
      </c>
      <c r="K302" s="31">
        <v>1</v>
      </c>
      <c r="W302" s="22" t="str">
        <f t="shared" si="7"/>
        <v>,(298,21,98,6900,1,"11","2025-06-28",1,1)</v>
      </c>
    </row>
    <row r="303" spans="2:23" x14ac:dyDescent="0.4">
      <c r="B303" s="33">
        <v>299</v>
      </c>
      <c r="C303" s="33">
        <v>299</v>
      </c>
      <c r="D303" s="33">
        <v>4</v>
      </c>
      <c r="E303" s="33">
        <v>96</v>
      </c>
      <c r="F303" s="33">
        <v>400</v>
      </c>
      <c r="G303" s="33">
        <v>60</v>
      </c>
      <c r="H303" s="29" t="s">
        <v>887</v>
      </c>
      <c r="I303" s="33" t="s">
        <v>936</v>
      </c>
      <c r="J303" s="31">
        <v>1</v>
      </c>
      <c r="K303" s="31">
        <v>1</v>
      </c>
      <c r="W303" s="22" t="str">
        <f t="shared" si="7"/>
        <v>,(299,4,96,400,60,"11","2025-06-28",1,1)</v>
      </c>
    </row>
    <row r="304" spans="2:23" x14ac:dyDescent="0.4">
      <c r="B304" s="33">
        <v>300</v>
      </c>
      <c r="C304" s="33">
        <v>300</v>
      </c>
      <c r="D304" s="33">
        <v>21</v>
      </c>
      <c r="E304" s="33">
        <v>57</v>
      </c>
      <c r="F304" s="33">
        <v>7150</v>
      </c>
      <c r="G304" s="33">
        <v>1</v>
      </c>
      <c r="H304" s="29" t="s">
        <v>887</v>
      </c>
      <c r="I304" s="33" t="s">
        <v>936</v>
      </c>
      <c r="J304" s="31">
        <v>1</v>
      </c>
      <c r="K304" s="31">
        <v>1</v>
      </c>
      <c r="W304" s="22" t="str">
        <f t="shared" si="7"/>
        <v>,(300,21,57,7150,1,"11","2025-06-28",1,1)</v>
      </c>
    </row>
    <row r="305" spans="2:23" x14ac:dyDescent="0.4">
      <c r="B305" s="33">
        <v>301</v>
      </c>
      <c r="C305" s="33">
        <v>301</v>
      </c>
      <c r="D305" s="33">
        <v>21</v>
      </c>
      <c r="E305" s="33">
        <v>60</v>
      </c>
      <c r="F305" s="33">
        <v>4900</v>
      </c>
      <c r="G305" s="33">
        <v>1</v>
      </c>
      <c r="H305" s="29" t="s">
        <v>887</v>
      </c>
      <c r="I305" s="33" t="s">
        <v>936</v>
      </c>
      <c r="J305" s="31">
        <v>1</v>
      </c>
      <c r="K305" s="31">
        <v>1</v>
      </c>
      <c r="W305" s="22" t="str">
        <f t="shared" si="7"/>
        <v>,(301,21,60,4900,1,"11","2025-06-28",1,1)</v>
      </c>
    </row>
    <row r="306" spans="2:23" x14ac:dyDescent="0.4">
      <c r="B306" s="33">
        <v>302</v>
      </c>
      <c r="C306" s="33">
        <v>302</v>
      </c>
      <c r="D306" s="33">
        <v>4</v>
      </c>
      <c r="E306" s="33">
        <v>120</v>
      </c>
      <c r="F306" s="33">
        <v>4690</v>
      </c>
      <c r="G306" s="33">
        <v>1</v>
      </c>
      <c r="H306" s="29" t="s">
        <v>887</v>
      </c>
      <c r="I306" s="33" t="s">
        <v>936</v>
      </c>
      <c r="J306" s="31">
        <v>1</v>
      </c>
      <c r="K306" s="31">
        <v>1</v>
      </c>
      <c r="W306" s="22" t="str">
        <f t="shared" si="7"/>
        <v>,(302,4,120,4690,1,"11","2025-06-28",1,1)</v>
      </c>
    </row>
    <row r="307" spans="2:23" x14ac:dyDescent="0.4">
      <c r="B307" s="33">
        <v>303</v>
      </c>
      <c r="C307" s="33">
        <v>303</v>
      </c>
      <c r="D307" s="33">
        <v>4</v>
      </c>
      <c r="E307" s="33">
        <v>120</v>
      </c>
      <c r="F307" s="33">
        <v>4600</v>
      </c>
      <c r="G307" s="33">
        <v>1</v>
      </c>
      <c r="H307" s="29" t="s">
        <v>887</v>
      </c>
      <c r="I307" s="33" t="s">
        <v>936</v>
      </c>
      <c r="J307" s="31">
        <v>1</v>
      </c>
      <c r="K307" s="31">
        <v>1</v>
      </c>
      <c r="W307" s="22" t="str">
        <f t="shared" ref="W307:W370" si="8">_xlfn.CONCAT(IF(B307=1,"",","),"(",_xlfn.TEXTJOIN(",",TRUE,C307:V307),")")</f>
        <v>,(303,4,120,4600,1,"11","2025-06-28",1,1)</v>
      </c>
    </row>
    <row r="308" spans="2:23" x14ac:dyDescent="0.4">
      <c r="B308" s="33">
        <v>304</v>
      </c>
      <c r="C308" s="33">
        <v>304</v>
      </c>
      <c r="D308" s="33">
        <v>21</v>
      </c>
      <c r="E308" s="33">
        <v>68</v>
      </c>
      <c r="F308" s="33">
        <v>9800</v>
      </c>
      <c r="G308" s="33">
        <v>1</v>
      </c>
      <c r="H308" s="29" t="s">
        <v>887</v>
      </c>
      <c r="I308" s="33" t="s">
        <v>936</v>
      </c>
      <c r="J308" s="31">
        <v>1</v>
      </c>
      <c r="K308" s="31">
        <v>1</v>
      </c>
      <c r="W308" s="22" t="str">
        <f t="shared" si="8"/>
        <v>,(304,21,68,9800,1,"11","2025-06-28",1,1)</v>
      </c>
    </row>
    <row r="309" spans="2:23" x14ac:dyDescent="0.4">
      <c r="B309" s="33">
        <v>305</v>
      </c>
      <c r="C309" s="33">
        <v>305</v>
      </c>
      <c r="D309" s="33">
        <v>12</v>
      </c>
      <c r="E309" s="33">
        <v>37</v>
      </c>
      <c r="F309" s="33">
        <v>520</v>
      </c>
      <c r="G309" s="33">
        <v>10</v>
      </c>
      <c r="H309" s="29" t="s">
        <v>887</v>
      </c>
      <c r="I309" s="33" t="s">
        <v>935</v>
      </c>
      <c r="J309" s="31">
        <v>1</v>
      </c>
      <c r="K309" s="31">
        <v>1</v>
      </c>
      <c r="W309" s="22" t="str">
        <f t="shared" si="8"/>
        <v>,(305,12,37,520,10,"11","2025-07-25",1,1)</v>
      </c>
    </row>
    <row r="310" spans="2:23" x14ac:dyDescent="0.4">
      <c r="B310" s="33">
        <v>306</v>
      </c>
      <c r="C310" s="33">
        <v>306</v>
      </c>
      <c r="D310" s="33">
        <v>4</v>
      </c>
      <c r="E310" s="33">
        <v>89</v>
      </c>
      <c r="F310" s="33">
        <v>370</v>
      </c>
      <c r="G310" s="33">
        <v>60</v>
      </c>
      <c r="H310" s="29" t="s">
        <v>887</v>
      </c>
      <c r="I310" s="33" t="s">
        <v>935</v>
      </c>
      <c r="J310" s="31">
        <v>1</v>
      </c>
      <c r="K310" s="31">
        <v>1</v>
      </c>
      <c r="W310" s="22" t="str">
        <f t="shared" si="8"/>
        <v>,(306,4,89,370,60,"11","2025-07-25",1,1)</v>
      </c>
    </row>
    <row r="311" spans="2:23" x14ac:dyDescent="0.4">
      <c r="B311" s="33">
        <v>307</v>
      </c>
      <c r="C311" s="33">
        <v>307</v>
      </c>
      <c r="D311" s="33">
        <v>18</v>
      </c>
      <c r="E311" s="33">
        <v>50</v>
      </c>
      <c r="F311" s="33">
        <v>21840</v>
      </c>
      <c r="G311" s="33">
        <v>1</v>
      </c>
      <c r="H311" s="29" t="s">
        <v>887</v>
      </c>
      <c r="I311" s="33" t="s">
        <v>935</v>
      </c>
      <c r="J311" s="31">
        <v>1</v>
      </c>
      <c r="K311" s="31">
        <v>1</v>
      </c>
      <c r="W311" s="22" t="str">
        <f t="shared" si="8"/>
        <v>,(307,18,50,21840,1,"11","2025-07-25",1,1)</v>
      </c>
    </row>
    <row r="312" spans="2:23" x14ac:dyDescent="0.4">
      <c r="B312" s="33">
        <v>308</v>
      </c>
      <c r="C312" s="33">
        <v>308</v>
      </c>
      <c r="D312" s="33">
        <v>13</v>
      </c>
      <c r="E312" s="33">
        <v>154</v>
      </c>
      <c r="F312" s="33">
        <v>6860</v>
      </c>
      <c r="G312" s="33">
        <v>1</v>
      </c>
      <c r="H312" s="29" t="s">
        <v>887</v>
      </c>
      <c r="I312" s="33" t="s">
        <v>935</v>
      </c>
      <c r="J312" s="31">
        <v>1</v>
      </c>
      <c r="K312" s="31">
        <v>1</v>
      </c>
      <c r="W312" s="22" t="str">
        <f t="shared" si="8"/>
        <v>,(308,13,154,6860,1,"11","2025-07-25",1,1)</v>
      </c>
    </row>
    <row r="313" spans="2:23" x14ac:dyDescent="0.4">
      <c r="B313" s="33">
        <v>309</v>
      </c>
      <c r="C313" s="33">
        <v>309</v>
      </c>
      <c r="D313" s="33">
        <v>21</v>
      </c>
      <c r="E313" s="33">
        <v>154</v>
      </c>
      <c r="F313" s="33">
        <v>6860</v>
      </c>
      <c r="G313" s="33">
        <v>1</v>
      </c>
      <c r="H313" s="29" t="s">
        <v>887</v>
      </c>
      <c r="I313" s="33" t="s">
        <v>935</v>
      </c>
      <c r="J313" s="31">
        <v>1</v>
      </c>
      <c r="K313" s="31">
        <v>1</v>
      </c>
      <c r="W313" s="22" t="str">
        <f t="shared" si="8"/>
        <v>,(309,21,154,6860,1,"11","2025-07-25",1,1)</v>
      </c>
    </row>
    <row r="314" spans="2:23" x14ac:dyDescent="0.4">
      <c r="B314" s="33">
        <v>310</v>
      </c>
      <c r="C314" s="33">
        <v>310</v>
      </c>
      <c r="D314" s="33">
        <v>12</v>
      </c>
      <c r="E314" s="33">
        <v>110</v>
      </c>
      <c r="F314" s="33">
        <v>10200</v>
      </c>
      <c r="G314" s="33">
        <v>1</v>
      </c>
      <c r="H314" s="29" t="s">
        <v>887</v>
      </c>
      <c r="I314" s="33" t="s">
        <v>935</v>
      </c>
      <c r="J314" s="31">
        <v>1</v>
      </c>
      <c r="K314" s="31">
        <v>1</v>
      </c>
      <c r="W314" s="22" t="str">
        <f t="shared" si="8"/>
        <v>,(310,12,110,10200,1,"11","2025-07-25",1,1)</v>
      </c>
    </row>
    <row r="315" spans="2:23" x14ac:dyDescent="0.4">
      <c r="B315" s="33">
        <v>311</v>
      </c>
      <c r="C315" s="33">
        <v>311</v>
      </c>
      <c r="D315" s="33">
        <v>11</v>
      </c>
      <c r="E315" s="33">
        <v>156</v>
      </c>
      <c r="F315" s="33">
        <v>2300</v>
      </c>
      <c r="G315" s="33">
        <v>1</v>
      </c>
      <c r="H315" s="29" t="s">
        <v>887</v>
      </c>
      <c r="I315" s="33" t="s">
        <v>935</v>
      </c>
      <c r="J315" s="31">
        <v>1</v>
      </c>
      <c r="K315" s="31">
        <v>1</v>
      </c>
      <c r="W315" s="22" t="str">
        <f t="shared" si="8"/>
        <v>,(311,11,156,2300,1,"11","2025-07-25",1,1)</v>
      </c>
    </row>
    <row r="316" spans="2:23" x14ac:dyDescent="0.4">
      <c r="B316" s="33">
        <v>312</v>
      </c>
      <c r="C316" s="33">
        <v>312</v>
      </c>
      <c r="D316" s="33">
        <v>4</v>
      </c>
      <c r="E316" s="33">
        <v>96</v>
      </c>
      <c r="F316" s="33">
        <v>400</v>
      </c>
      <c r="G316" s="33">
        <v>60</v>
      </c>
      <c r="H316" s="29" t="s">
        <v>887</v>
      </c>
      <c r="I316" s="33" t="s">
        <v>935</v>
      </c>
      <c r="J316" s="31">
        <v>1</v>
      </c>
      <c r="K316" s="31">
        <v>1</v>
      </c>
      <c r="W316" s="22" t="str">
        <f t="shared" si="8"/>
        <v>,(312,4,96,400,60,"11","2025-07-25",1,1)</v>
      </c>
    </row>
    <row r="317" spans="2:23" x14ac:dyDescent="0.4">
      <c r="B317" s="33">
        <v>313</v>
      </c>
      <c r="C317" s="33">
        <v>313</v>
      </c>
      <c r="D317" s="33">
        <v>18</v>
      </c>
      <c r="E317" s="33">
        <v>118</v>
      </c>
      <c r="F317" s="33">
        <v>4350</v>
      </c>
      <c r="G317" s="33">
        <v>3</v>
      </c>
      <c r="H317" s="29" t="s">
        <v>887</v>
      </c>
      <c r="I317" s="33" t="s">
        <v>935</v>
      </c>
      <c r="J317" s="31">
        <v>1</v>
      </c>
      <c r="K317" s="31">
        <v>1</v>
      </c>
      <c r="W317" s="22" t="str">
        <f t="shared" si="8"/>
        <v>,(313,18,118,4350,3,"11","2025-07-25",1,1)</v>
      </c>
    </row>
    <row r="318" spans="2:23" x14ac:dyDescent="0.4">
      <c r="B318" s="33">
        <v>314</v>
      </c>
      <c r="C318" s="33">
        <v>314</v>
      </c>
      <c r="D318" s="33">
        <v>21</v>
      </c>
      <c r="E318" s="33">
        <v>57</v>
      </c>
      <c r="F318" s="33">
        <v>7150</v>
      </c>
      <c r="G318" s="33">
        <v>2</v>
      </c>
      <c r="H318" s="29" t="s">
        <v>887</v>
      </c>
      <c r="I318" s="33" t="s">
        <v>935</v>
      </c>
      <c r="J318" s="31">
        <v>1</v>
      </c>
      <c r="K318" s="31">
        <v>1</v>
      </c>
      <c r="W318" s="22" t="str">
        <f t="shared" si="8"/>
        <v>,(314,21,57,7150,2,"11","2025-07-25",1,1)</v>
      </c>
    </row>
    <row r="319" spans="2:23" x14ac:dyDescent="0.4">
      <c r="B319" s="33">
        <v>315</v>
      </c>
      <c r="C319" s="33">
        <v>315</v>
      </c>
      <c r="D319" s="33">
        <v>11</v>
      </c>
      <c r="E319" s="33">
        <v>119</v>
      </c>
      <c r="F319" s="33">
        <v>780</v>
      </c>
      <c r="G319" s="33">
        <v>5</v>
      </c>
      <c r="H319" s="29" t="s">
        <v>887</v>
      </c>
      <c r="I319" s="33" t="s">
        <v>935</v>
      </c>
      <c r="J319" s="31">
        <v>1</v>
      </c>
      <c r="K319" s="31">
        <v>1</v>
      </c>
      <c r="W319" s="22" t="str">
        <f t="shared" si="8"/>
        <v>,(315,11,119,780,5,"11","2025-07-25",1,1)</v>
      </c>
    </row>
    <row r="320" spans="2:23" x14ac:dyDescent="0.4">
      <c r="B320" s="33">
        <v>316</v>
      </c>
      <c r="C320" s="33">
        <v>316</v>
      </c>
      <c r="D320" s="33">
        <v>18</v>
      </c>
      <c r="E320" s="33">
        <v>119</v>
      </c>
      <c r="F320" s="33">
        <v>780</v>
      </c>
      <c r="G320" s="33">
        <v>10</v>
      </c>
      <c r="H320" s="29" t="s">
        <v>887</v>
      </c>
      <c r="I320" s="33" t="s">
        <v>935</v>
      </c>
      <c r="J320" s="31">
        <v>1</v>
      </c>
      <c r="K320" s="31">
        <v>1</v>
      </c>
      <c r="W320" s="22" t="str">
        <f t="shared" si="8"/>
        <v>,(316,18,119,780,10,"11","2025-07-25",1,1)</v>
      </c>
    </row>
    <row r="321" spans="2:23" x14ac:dyDescent="0.4">
      <c r="B321" s="33">
        <v>317</v>
      </c>
      <c r="C321" s="33">
        <v>317</v>
      </c>
      <c r="D321" s="33">
        <v>11</v>
      </c>
      <c r="E321" s="33">
        <v>121</v>
      </c>
      <c r="F321" s="33">
        <v>630</v>
      </c>
      <c r="G321" s="33">
        <v>5</v>
      </c>
      <c r="H321" s="29" t="s">
        <v>887</v>
      </c>
      <c r="I321" s="33" t="s">
        <v>935</v>
      </c>
      <c r="J321" s="31">
        <v>1</v>
      </c>
      <c r="K321" s="31">
        <v>1</v>
      </c>
      <c r="W321" s="22" t="str">
        <f t="shared" si="8"/>
        <v>,(317,11,121,630,5,"11","2025-07-25",1,1)</v>
      </c>
    </row>
    <row r="322" spans="2:23" x14ac:dyDescent="0.4">
      <c r="B322" s="33">
        <v>318</v>
      </c>
      <c r="C322" s="33">
        <v>318</v>
      </c>
      <c r="D322" s="33">
        <v>12</v>
      </c>
      <c r="E322" s="33">
        <v>121</v>
      </c>
      <c r="F322" s="33">
        <v>630</v>
      </c>
      <c r="G322" s="33">
        <v>20</v>
      </c>
      <c r="H322" s="29" t="s">
        <v>887</v>
      </c>
      <c r="I322" s="33" t="s">
        <v>935</v>
      </c>
      <c r="J322" s="31">
        <v>1</v>
      </c>
      <c r="K322" s="31">
        <v>1</v>
      </c>
      <c r="W322" s="22" t="str">
        <f t="shared" si="8"/>
        <v>,(318,12,121,630,20,"11","2025-07-25",1,1)</v>
      </c>
    </row>
    <row r="323" spans="2:23" x14ac:dyDescent="0.4">
      <c r="B323" s="33">
        <v>319</v>
      </c>
      <c r="C323" s="33">
        <v>319</v>
      </c>
      <c r="D323" s="33">
        <v>21</v>
      </c>
      <c r="E323" s="33">
        <v>69</v>
      </c>
      <c r="F323" s="33">
        <v>1500</v>
      </c>
      <c r="G323" s="33">
        <v>10</v>
      </c>
      <c r="H323" s="29" t="s">
        <v>887</v>
      </c>
      <c r="I323" s="33" t="s">
        <v>935</v>
      </c>
      <c r="J323" s="31">
        <v>1</v>
      </c>
      <c r="K323" s="31">
        <v>1</v>
      </c>
      <c r="W323" s="22" t="str">
        <f t="shared" si="8"/>
        <v>,(319,21,69,1500,10,"11","2025-07-25",1,1)</v>
      </c>
    </row>
    <row r="324" spans="2:23" x14ac:dyDescent="0.4">
      <c r="B324" s="33">
        <v>320</v>
      </c>
      <c r="C324" s="33">
        <v>320</v>
      </c>
      <c r="D324" s="33">
        <v>12</v>
      </c>
      <c r="E324" s="33">
        <v>72</v>
      </c>
      <c r="F324" s="33">
        <v>7990</v>
      </c>
      <c r="G324" s="33">
        <v>1</v>
      </c>
      <c r="H324" s="29" t="s">
        <v>887</v>
      </c>
      <c r="I324" s="33" t="s">
        <v>935</v>
      </c>
      <c r="J324" s="31">
        <v>1</v>
      </c>
      <c r="K324" s="31">
        <v>1</v>
      </c>
      <c r="W324" s="22" t="str">
        <f t="shared" si="8"/>
        <v>,(320,12,72,7990,1,"11","2025-07-25",1,1)</v>
      </c>
    </row>
    <row r="325" spans="2:23" x14ac:dyDescent="0.4">
      <c r="B325" s="33">
        <v>321</v>
      </c>
      <c r="C325" s="33">
        <v>321</v>
      </c>
      <c r="D325" s="33">
        <v>11</v>
      </c>
      <c r="E325" s="33">
        <v>136</v>
      </c>
      <c r="F325" s="33">
        <v>680</v>
      </c>
      <c r="G325" s="33">
        <v>5</v>
      </c>
      <c r="H325" s="29" t="s">
        <v>887</v>
      </c>
      <c r="I325" s="33" t="s">
        <v>935</v>
      </c>
      <c r="J325" s="31">
        <v>1</v>
      </c>
      <c r="K325" s="31">
        <v>1</v>
      </c>
      <c r="W325" s="22" t="str">
        <f t="shared" si="8"/>
        <v>,(321,11,136,680,5,"11","2025-07-25",1,1)</v>
      </c>
    </row>
    <row r="326" spans="2:23" x14ac:dyDescent="0.4">
      <c r="B326" s="33">
        <v>322</v>
      </c>
      <c r="C326" s="33">
        <v>322</v>
      </c>
      <c r="D326" s="33">
        <v>12</v>
      </c>
      <c r="E326" s="33">
        <v>106</v>
      </c>
      <c r="F326" s="33">
        <v>4320</v>
      </c>
      <c r="G326" s="33">
        <v>4</v>
      </c>
      <c r="H326" s="29" t="s">
        <v>887</v>
      </c>
      <c r="I326" s="33" t="s">
        <v>935</v>
      </c>
      <c r="J326" s="31">
        <v>1</v>
      </c>
      <c r="K326" s="31">
        <v>1</v>
      </c>
      <c r="W326" s="22" t="str">
        <f t="shared" si="8"/>
        <v>,(322,12,106,4320,4,"11","2025-07-25",1,1)</v>
      </c>
    </row>
    <row r="327" spans="2:23" x14ac:dyDescent="0.4">
      <c r="B327" s="33">
        <v>323</v>
      </c>
      <c r="C327" s="33">
        <v>323</v>
      </c>
      <c r="D327" s="33">
        <v>13</v>
      </c>
      <c r="E327" s="33">
        <v>171</v>
      </c>
      <c r="F327" s="33">
        <v>4480</v>
      </c>
      <c r="G327" s="33">
        <v>1</v>
      </c>
      <c r="H327" s="29" t="s">
        <v>887</v>
      </c>
      <c r="I327" s="33" t="s">
        <v>935</v>
      </c>
      <c r="J327" s="31">
        <v>1</v>
      </c>
      <c r="K327" s="31">
        <v>1</v>
      </c>
      <c r="W327" s="22" t="str">
        <f t="shared" si="8"/>
        <v>,(323,13,171,4480,1,"11","2025-07-25",1,1)</v>
      </c>
    </row>
    <row r="328" spans="2:23" x14ac:dyDescent="0.4">
      <c r="B328" s="33">
        <v>324</v>
      </c>
      <c r="C328" s="33">
        <v>324</v>
      </c>
      <c r="D328" s="33">
        <v>18</v>
      </c>
      <c r="E328" s="33">
        <v>171</v>
      </c>
      <c r="F328" s="33">
        <v>4480</v>
      </c>
      <c r="G328" s="33">
        <v>1</v>
      </c>
      <c r="H328" s="29" t="s">
        <v>887</v>
      </c>
      <c r="I328" s="33" t="s">
        <v>935</v>
      </c>
      <c r="J328" s="31">
        <v>1</v>
      </c>
      <c r="K328" s="31">
        <v>1</v>
      </c>
      <c r="W328" s="22" t="str">
        <f t="shared" si="8"/>
        <v>,(324,18,171,4480,1,"11","2025-07-25",1,1)</v>
      </c>
    </row>
    <row r="329" spans="2:23" x14ac:dyDescent="0.4">
      <c r="B329" s="33">
        <v>325</v>
      </c>
      <c r="C329" s="33">
        <v>325</v>
      </c>
      <c r="D329" s="33">
        <v>21</v>
      </c>
      <c r="E329" s="33">
        <v>171</v>
      </c>
      <c r="F329" s="33">
        <v>4480</v>
      </c>
      <c r="G329" s="33">
        <v>4</v>
      </c>
      <c r="H329" s="29" t="s">
        <v>887</v>
      </c>
      <c r="I329" s="33" t="s">
        <v>935</v>
      </c>
      <c r="J329" s="31">
        <v>1</v>
      </c>
      <c r="K329" s="31">
        <v>1</v>
      </c>
      <c r="W329" s="22" t="str">
        <f t="shared" si="8"/>
        <v>,(325,21,171,4480,4,"11","2025-07-25",1,1)</v>
      </c>
    </row>
    <row r="330" spans="2:23" x14ac:dyDescent="0.4">
      <c r="B330" s="33">
        <v>326</v>
      </c>
      <c r="C330" s="33">
        <v>326</v>
      </c>
      <c r="D330" s="33">
        <v>12</v>
      </c>
      <c r="E330" s="33">
        <v>141</v>
      </c>
      <c r="F330" s="33">
        <v>500</v>
      </c>
      <c r="G330" s="33">
        <v>20</v>
      </c>
      <c r="H330" s="29" t="s">
        <v>887</v>
      </c>
      <c r="I330" s="33" t="s">
        <v>935</v>
      </c>
      <c r="J330" s="31">
        <v>1</v>
      </c>
      <c r="K330" s="31">
        <v>1</v>
      </c>
      <c r="W330" s="22" t="str">
        <f t="shared" si="8"/>
        <v>,(326,12,141,500,20,"11","2025-07-25",1,1)</v>
      </c>
    </row>
    <row r="331" spans="2:23" x14ac:dyDescent="0.4">
      <c r="B331" s="33">
        <v>327</v>
      </c>
      <c r="C331" s="33">
        <v>327</v>
      </c>
      <c r="D331" s="33">
        <v>4</v>
      </c>
      <c r="E331" s="33">
        <v>142</v>
      </c>
      <c r="F331" s="33">
        <v>710</v>
      </c>
      <c r="G331" s="33">
        <v>24</v>
      </c>
      <c r="H331" s="29" t="s">
        <v>887</v>
      </c>
      <c r="I331" s="33" t="s">
        <v>935</v>
      </c>
      <c r="J331" s="31">
        <v>1</v>
      </c>
      <c r="K331" s="31">
        <v>1</v>
      </c>
      <c r="W331" s="22" t="str">
        <f t="shared" si="8"/>
        <v>,(327,4,142,710,24,"11","2025-07-25",1,1)</v>
      </c>
    </row>
    <row r="332" spans="2:23" x14ac:dyDescent="0.4">
      <c r="B332" s="33">
        <v>328</v>
      </c>
      <c r="C332" s="33">
        <v>328</v>
      </c>
      <c r="D332" s="33">
        <v>4</v>
      </c>
      <c r="E332" s="33">
        <v>143</v>
      </c>
      <c r="F332" s="33">
        <v>850</v>
      </c>
      <c r="G332" s="33">
        <v>24</v>
      </c>
      <c r="H332" s="29" t="s">
        <v>887</v>
      </c>
      <c r="I332" s="33" t="s">
        <v>935</v>
      </c>
      <c r="J332" s="31">
        <v>1</v>
      </c>
      <c r="K332" s="31">
        <v>1</v>
      </c>
      <c r="W332" s="22" t="str">
        <f t="shared" si="8"/>
        <v>,(328,4,143,850,24,"11","2025-07-25",1,1)</v>
      </c>
    </row>
    <row r="333" spans="2:23" x14ac:dyDescent="0.4">
      <c r="B333" s="33">
        <v>329</v>
      </c>
      <c r="C333" s="33">
        <v>329</v>
      </c>
      <c r="D333" s="33">
        <v>11</v>
      </c>
      <c r="E333" s="33">
        <v>144</v>
      </c>
      <c r="F333" s="33">
        <v>720</v>
      </c>
      <c r="G333" s="33">
        <v>5</v>
      </c>
      <c r="H333" s="29" t="s">
        <v>887</v>
      </c>
      <c r="I333" s="33" t="s">
        <v>935</v>
      </c>
      <c r="J333" s="31">
        <v>1</v>
      </c>
      <c r="K333" s="31">
        <v>1</v>
      </c>
      <c r="W333" s="22" t="str">
        <f t="shared" si="8"/>
        <v>,(329,11,144,720,5,"11","2025-07-25",1,1)</v>
      </c>
    </row>
    <row r="334" spans="2:23" x14ac:dyDescent="0.4">
      <c r="B334" s="33">
        <v>330</v>
      </c>
      <c r="C334" s="33">
        <v>330</v>
      </c>
      <c r="D334" s="33">
        <v>12</v>
      </c>
      <c r="E334" s="33">
        <v>148</v>
      </c>
      <c r="F334" s="33">
        <v>9900</v>
      </c>
      <c r="G334" s="33">
        <v>1</v>
      </c>
      <c r="H334" s="29" t="s">
        <v>887</v>
      </c>
      <c r="I334" s="33" t="s">
        <v>934</v>
      </c>
      <c r="J334" s="31">
        <v>1</v>
      </c>
      <c r="K334" s="31">
        <v>1</v>
      </c>
      <c r="W334" s="22" t="str">
        <f t="shared" si="8"/>
        <v>,(330,12,148,9900,1,"11","2025-08-14",1,1)</v>
      </c>
    </row>
    <row r="335" spans="2:23" x14ac:dyDescent="0.4">
      <c r="B335" s="33">
        <v>331</v>
      </c>
      <c r="C335" s="33">
        <v>331</v>
      </c>
      <c r="D335" s="33">
        <v>12</v>
      </c>
      <c r="E335" s="33">
        <v>100</v>
      </c>
      <c r="F335" s="33">
        <v>10800</v>
      </c>
      <c r="G335" s="33">
        <v>2</v>
      </c>
      <c r="H335" s="29" t="s">
        <v>887</v>
      </c>
      <c r="I335" s="33" t="s">
        <v>934</v>
      </c>
      <c r="J335" s="31">
        <v>1</v>
      </c>
      <c r="K335" s="31">
        <v>1</v>
      </c>
      <c r="W335" s="22" t="str">
        <f t="shared" si="8"/>
        <v>,(331,12,100,10800,2,"11","2025-08-14",1,1)</v>
      </c>
    </row>
    <row r="336" spans="2:23" x14ac:dyDescent="0.4">
      <c r="B336" s="33">
        <v>332</v>
      </c>
      <c r="C336" s="33">
        <v>332</v>
      </c>
      <c r="D336" s="33">
        <v>4</v>
      </c>
      <c r="E336" s="33">
        <v>91</v>
      </c>
      <c r="F336" s="33">
        <v>430</v>
      </c>
      <c r="G336" s="33">
        <v>30</v>
      </c>
      <c r="H336" s="29" t="s">
        <v>887</v>
      </c>
      <c r="I336" s="33" t="s">
        <v>934</v>
      </c>
      <c r="J336" s="31">
        <v>1</v>
      </c>
      <c r="K336" s="31">
        <v>1</v>
      </c>
      <c r="W336" s="22" t="str">
        <f t="shared" si="8"/>
        <v>,(332,4,91,430,30,"11","2025-08-14",1,1)</v>
      </c>
    </row>
    <row r="337" spans="2:23" x14ac:dyDescent="0.4">
      <c r="B337" s="33">
        <v>333</v>
      </c>
      <c r="C337" s="33">
        <v>333</v>
      </c>
      <c r="D337" s="33">
        <v>12</v>
      </c>
      <c r="E337" s="33">
        <v>50</v>
      </c>
      <c r="F337" s="33">
        <v>21840</v>
      </c>
      <c r="G337" s="33">
        <v>1</v>
      </c>
      <c r="H337" s="29" t="s">
        <v>887</v>
      </c>
      <c r="I337" s="33" t="s">
        <v>934</v>
      </c>
      <c r="J337" s="31">
        <v>1</v>
      </c>
      <c r="K337" s="31">
        <v>1</v>
      </c>
      <c r="W337" s="22" t="str">
        <f t="shared" si="8"/>
        <v>,(333,12,50,21840,1,"11","2025-08-14",1,1)</v>
      </c>
    </row>
    <row r="338" spans="2:23" x14ac:dyDescent="0.4">
      <c r="B338" s="33">
        <v>334</v>
      </c>
      <c r="C338" s="33">
        <v>334</v>
      </c>
      <c r="D338" s="33">
        <v>18</v>
      </c>
      <c r="E338" s="33">
        <v>50</v>
      </c>
      <c r="F338" s="33">
        <v>21840</v>
      </c>
      <c r="G338" s="33">
        <v>1</v>
      </c>
      <c r="H338" s="29" t="s">
        <v>887</v>
      </c>
      <c r="I338" s="33" t="s">
        <v>934</v>
      </c>
      <c r="J338" s="31">
        <v>1</v>
      </c>
      <c r="K338" s="31">
        <v>1</v>
      </c>
      <c r="W338" s="22" t="str">
        <f t="shared" si="8"/>
        <v>,(334,18,50,21840,1,"11","2025-08-14",1,1)</v>
      </c>
    </row>
    <row r="339" spans="2:23" x14ac:dyDescent="0.4">
      <c r="B339" s="33">
        <v>335</v>
      </c>
      <c r="C339" s="33">
        <v>335</v>
      </c>
      <c r="D339" s="33">
        <v>4</v>
      </c>
      <c r="E339" s="33">
        <v>96</v>
      </c>
      <c r="F339" s="33">
        <v>400</v>
      </c>
      <c r="G339" s="33">
        <v>30</v>
      </c>
      <c r="H339" s="29" t="s">
        <v>887</v>
      </c>
      <c r="I339" s="33" t="s">
        <v>934</v>
      </c>
      <c r="J339" s="31">
        <v>1</v>
      </c>
      <c r="K339" s="31">
        <v>1</v>
      </c>
      <c r="W339" s="22" t="str">
        <f t="shared" si="8"/>
        <v>,(335,4,96,400,30,"11","2025-08-14",1,1)</v>
      </c>
    </row>
    <row r="340" spans="2:23" x14ac:dyDescent="0.4">
      <c r="B340" s="33">
        <v>336</v>
      </c>
      <c r="C340" s="33">
        <v>336</v>
      </c>
      <c r="D340" s="33">
        <v>12</v>
      </c>
      <c r="E340" s="33">
        <v>117</v>
      </c>
      <c r="F340" s="33">
        <v>1800</v>
      </c>
      <c r="G340" s="33">
        <v>1</v>
      </c>
      <c r="H340" s="29" t="s">
        <v>887</v>
      </c>
      <c r="I340" s="33" t="s">
        <v>934</v>
      </c>
      <c r="J340" s="31">
        <v>1</v>
      </c>
      <c r="K340" s="31">
        <v>1</v>
      </c>
      <c r="W340" s="22" t="str">
        <f t="shared" si="8"/>
        <v>,(336,12,117,1800,1,"11","2025-08-14",1,1)</v>
      </c>
    </row>
    <row r="341" spans="2:23" x14ac:dyDescent="0.4">
      <c r="B341" s="33">
        <v>337</v>
      </c>
      <c r="C341" s="33">
        <v>337</v>
      </c>
      <c r="D341" s="33">
        <v>18</v>
      </c>
      <c r="E341" s="33">
        <v>117</v>
      </c>
      <c r="F341" s="33">
        <v>1800</v>
      </c>
      <c r="G341" s="33">
        <v>5</v>
      </c>
      <c r="H341" s="29" t="s">
        <v>887</v>
      </c>
      <c r="I341" s="33" t="s">
        <v>934</v>
      </c>
      <c r="J341" s="31">
        <v>1</v>
      </c>
      <c r="K341" s="31">
        <v>1</v>
      </c>
      <c r="W341" s="22" t="str">
        <f t="shared" si="8"/>
        <v>,(337,18,117,1800,5,"11","2025-08-14",1,1)</v>
      </c>
    </row>
    <row r="342" spans="2:23" x14ac:dyDescent="0.4">
      <c r="B342" s="33">
        <v>338</v>
      </c>
      <c r="C342" s="33">
        <v>338</v>
      </c>
      <c r="D342" s="33">
        <v>12</v>
      </c>
      <c r="E342" s="33">
        <v>158</v>
      </c>
      <c r="F342" s="33">
        <v>11450</v>
      </c>
      <c r="G342" s="33">
        <v>1</v>
      </c>
      <c r="H342" s="29" t="s">
        <v>887</v>
      </c>
      <c r="I342" s="33" t="s">
        <v>934</v>
      </c>
      <c r="J342" s="31">
        <v>1</v>
      </c>
      <c r="K342" s="31">
        <v>1</v>
      </c>
      <c r="W342" s="22" t="str">
        <f t="shared" si="8"/>
        <v>,(338,12,158,11450,1,"11","2025-08-14",1,1)</v>
      </c>
    </row>
    <row r="343" spans="2:23" x14ac:dyDescent="0.4">
      <c r="B343" s="33">
        <v>339</v>
      </c>
      <c r="C343" s="33">
        <v>339</v>
      </c>
      <c r="D343" s="33">
        <v>12</v>
      </c>
      <c r="E343" s="33">
        <v>57</v>
      </c>
      <c r="F343" s="33">
        <v>7150</v>
      </c>
      <c r="G343" s="33">
        <v>2</v>
      </c>
      <c r="H343" s="29" t="s">
        <v>887</v>
      </c>
      <c r="I343" s="33" t="s">
        <v>934</v>
      </c>
      <c r="J343" s="31">
        <v>1</v>
      </c>
      <c r="K343" s="31">
        <v>1</v>
      </c>
      <c r="W343" s="22" t="str">
        <f t="shared" si="8"/>
        <v>,(339,12,57,7150,2,"11","2025-08-14",1,1)</v>
      </c>
    </row>
    <row r="344" spans="2:23" x14ac:dyDescent="0.4">
      <c r="B344" s="33">
        <v>340</v>
      </c>
      <c r="C344" s="33">
        <v>340</v>
      </c>
      <c r="D344" s="33">
        <v>4</v>
      </c>
      <c r="E344" s="33">
        <v>120</v>
      </c>
      <c r="F344" s="33">
        <v>4600</v>
      </c>
      <c r="G344" s="33">
        <v>1</v>
      </c>
      <c r="H344" s="29" t="s">
        <v>887</v>
      </c>
      <c r="I344" s="33" t="s">
        <v>934</v>
      </c>
      <c r="J344" s="31">
        <v>1</v>
      </c>
      <c r="K344" s="31">
        <v>1</v>
      </c>
      <c r="W344" s="22" t="str">
        <f t="shared" si="8"/>
        <v>,(340,4,120,4600,1,"11","2025-08-14",1,1)</v>
      </c>
    </row>
    <row r="345" spans="2:23" x14ac:dyDescent="0.4">
      <c r="B345" s="33">
        <v>341</v>
      </c>
      <c r="C345" s="33">
        <v>341</v>
      </c>
      <c r="D345" s="33">
        <v>12</v>
      </c>
      <c r="E345" s="33">
        <v>66</v>
      </c>
      <c r="F345" s="33">
        <v>7100</v>
      </c>
      <c r="G345" s="33">
        <v>1</v>
      </c>
      <c r="H345" s="29" t="s">
        <v>887</v>
      </c>
      <c r="I345" s="33" t="s">
        <v>934</v>
      </c>
      <c r="J345" s="31">
        <v>1</v>
      </c>
      <c r="K345" s="31">
        <v>1</v>
      </c>
      <c r="W345" s="22" t="str">
        <f t="shared" si="8"/>
        <v>,(341,12,66,7100,1,"11","2025-08-14",1,1)</v>
      </c>
    </row>
    <row r="346" spans="2:23" x14ac:dyDescent="0.4">
      <c r="B346" s="33">
        <v>342</v>
      </c>
      <c r="C346" s="33">
        <v>342</v>
      </c>
      <c r="D346" s="33">
        <v>12</v>
      </c>
      <c r="E346" s="33">
        <v>68</v>
      </c>
      <c r="F346" s="33">
        <v>9800</v>
      </c>
      <c r="G346" s="33">
        <v>1</v>
      </c>
      <c r="H346" s="29" t="s">
        <v>887</v>
      </c>
      <c r="I346" s="33" t="s">
        <v>934</v>
      </c>
      <c r="J346" s="31">
        <v>1</v>
      </c>
      <c r="K346" s="31">
        <v>1</v>
      </c>
      <c r="W346" s="22" t="str">
        <f t="shared" si="8"/>
        <v>,(342,12,68,9800,1,"11","2025-08-14",1,1)</v>
      </c>
    </row>
    <row r="347" spans="2:23" x14ac:dyDescent="0.4">
      <c r="B347" s="33">
        <v>343</v>
      </c>
      <c r="C347" s="33">
        <v>343</v>
      </c>
      <c r="D347" s="33">
        <v>12</v>
      </c>
      <c r="E347" s="33">
        <v>74</v>
      </c>
      <c r="F347" s="33">
        <v>11390</v>
      </c>
      <c r="G347" s="33">
        <v>1</v>
      </c>
      <c r="H347" s="29" t="s">
        <v>887</v>
      </c>
      <c r="I347" s="33" t="s">
        <v>934</v>
      </c>
      <c r="J347" s="31">
        <v>1</v>
      </c>
      <c r="K347" s="31">
        <v>1</v>
      </c>
      <c r="W347" s="22" t="str">
        <f t="shared" si="8"/>
        <v>,(343,12,74,11390,1,"11","2025-08-14",1,1)</v>
      </c>
    </row>
    <row r="348" spans="2:23" x14ac:dyDescent="0.4">
      <c r="B348" s="33">
        <v>344</v>
      </c>
      <c r="C348" s="33">
        <v>344</v>
      </c>
      <c r="D348" s="33">
        <v>4</v>
      </c>
      <c r="E348" s="33">
        <v>128</v>
      </c>
      <c r="F348" s="33">
        <v>4080</v>
      </c>
      <c r="G348" s="33">
        <v>1</v>
      </c>
      <c r="H348" s="29" t="s">
        <v>887</v>
      </c>
      <c r="I348" s="33" t="s">
        <v>934</v>
      </c>
      <c r="J348" s="31">
        <v>1</v>
      </c>
      <c r="K348" s="31">
        <v>1</v>
      </c>
      <c r="W348" s="22" t="str">
        <f t="shared" si="8"/>
        <v>,(344,4,128,4080,1,"11","2025-08-14",1,1)</v>
      </c>
    </row>
    <row r="349" spans="2:23" x14ac:dyDescent="0.4">
      <c r="B349" s="33">
        <v>345</v>
      </c>
      <c r="C349" s="33">
        <v>345</v>
      </c>
      <c r="D349" s="33">
        <v>16</v>
      </c>
      <c r="E349" s="33">
        <v>168</v>
      </c>
      <c r="F349" s="33">
        <v>14500</v>
      </c>
      <c r="G349" s="33">
        <v>1</v>
      </c>
      <c r="H349" s="29" t="s">
        <v>887</v>
      </c>
      <c r="I349" s="33" t="s">
        <v>934</v>
      </c>
      <c r="J349" s="31">
        <v>1</v>
      </c>
      <c r="K349" s="31">
        <v>1</v>
      </c>
      <c r="W349" s="22" t="str">
        <f t="shared" si="8"/>
        <v>,(345,16,168,14500,1,"11","2025-08-14",1,1)</v>
      </c>
    </row>
    <row r="350" spans="2:23" x14ac:dyDescent="0.4">
      <c r="B350" s="33">
        <v>346</v>
      </c>
      <c r="C350" s="33">
        <v>346</v>
      </c>
      <c r="D350" s="33">
        <v>12</v>
      </c>
      <c r="E350" s="33">
        <v>169</v>
      </c>
      <c r="F350" s="33">
        <v>12560</v>
      </c>
      <c r="G350" s="33">
        <v>1</v>
      </c>
      <c r="H350" s="29" t="s">
        <v>887</v>
      </c>
      <c r="I350" s="33" t="s">
        <v>934</v>
      </c>
      <c r="J350" s="31">
        <v>1</v>
      </c>
      <c r="K350" s="31">
        <v>1</v>
      </c>
      <c r="W350" s="22" t="str">
        <f t="shared" si="8"/>
        <v>,(346,12,169,12560,1,"11","2025-08-14",1,1)</v>
      </c>
    </row>
    <row r="351" spans="2:23" x14ac:dyDescent="0.4">
      <c r="B351" s="33">
        <v>347</v>
      </c>
      <c r="C351" s="33">
        <v>347</v>
      </c>
      <c r="D351" s="33">
        <v>16</v>
      </c>
      <c r="E351" s="33">
        <v>133</v>
      </c>
      <c r="F351" s="33">
        <v>900</v>
      </c>
      <c r="G351" s="33">
        <v>24</v>
      </c>
      <c r="H351" s="29" t="s">
        <v>887</v>
      </c>
      <c r="I351" s="33" t="s">
        <v>934</v>
      </c>
      <c r="J351" s="31">
        <v>1</v>
      </c>
      <c r="K351" s="31">
        <v>1</v>
      </c>
      <c r="W351" s="22" t="str">
        <f t="shared" si="8"/>
        <v>,(347,16,133,900,24,"11","2025-08-14",1,1)</v>
      </c>
    </row>
    <row r="352" spans="2:23" x14ac:dyDescent="0.4">
      <c r="B352" s="33">
        <v>348</v>
      </c>
      <c r="C352" s="33">
        <v>348</v>
      </c>
      <c r="D352" s="33">
        <v>4</v>
      </c>
      <c r="E352" s="33">
        <v>89</v>
      </c>
      <c r="F352" s="33">
        <v>370</v>
      </c>
      <c r="G352" s="33">
        <v>30</v>
      </c>
      <c r="H352" s="29" t="s">
        <v>887</v>
      </c>
      <c r="I352" s="33" t="s">
        <v>933</v>
      </c>
      <c r="J352" s="31">
        <v>1</v>
      </c>
      <c r="K352" s="31">
        <v>1</v>
      </c>
      <c r="W352" s="22" t="str">
        <f t="shared" si="8"/>
        <v>,(348,4,89,370,30,"11","2025-09-19",1,1)</v>
      </c>
    </row>
    <row r="353" spans="2:23" x14ac:dyDescent="0.4">
      <c r="B353" s="33">
        <v>349</v>
      </c>
      <c r="C353" s="33">
        <v>349</v>
      </c>
      <c r="D353" s="33">
        <v>21</v>
      </c>
      <c r="E353" s="33">
        <v>50</v>
      </c>
      <c r="F353" s="33">
        <v>21840</v>
      </c>
      <c r="G353" s="33">
        <v>1</v>
      </c>
      <c r="H353" s="29" t="s">
        <v>887</v>
      </c>
      <c r="I353" s="33" t="s">
        <v>933</v>
      </c>
      <c r="J353" s="31">
        <v>1</v>
      </c>
      <c r="K353" s="31">
        <v>1</v>
      </c>
      <c r="W353" s="22" t="str">
        <f t="shared" si="8"/>
        <v>,(349,21,50,21840,1,"11","2025-09-19",1,1)</v>
      </c>
    </row>
    <row r="354" spans="2:23" x14ac:dyDescent="0.4">
      <c r="B354" s="33">
        <v>350</v>
      </c>
      <c r="C354" s="33">
        <v>350</v>
      </c>
      <c r="D354" s="33">
        <v>21</v>
      </c>
      <c r="E354" s="33">
        <v>101</v>
      </c>
      <c r="F354" s="33">
        <v>5700</v>
      </c>
      <c r="G354" s="33">
        <v>2</v>
      </c>
      <c r="H354" s="29" t="s">
        <v>887</v>
      </c>
      <c r="I354" s="33" t="s">
        <v>933</v>
      </c>
      <c r="J354" s="31">
        <v>1</v>
      </c>
      <c r="K354" s="31">
        <v>1</v>
      </c>
      <c r="W354" s="22" t="str">
        <f t="shared" si="8"/>
        <v>,(350,21,101,5700,2,"11","2025-09-19",1,1)</v>
      </c>
    </row>
    <row r="355" spans="2:23" x14ac:dyDescent="0.4">
      <c r="B355" s="33">
        <v>351</v>
      </c>
      <c r="C355" s="33">
        <v>351</v>
      </c>
      <c r="D355" s="33">
        <v>12</v>
      </c>
      <c r="E355" s="33">
        <v>156</v>
      </c>
      <c r="F355" s="33">
        <v>2300</v>
      </c>
      <c r="G355" s="33">
        <v>3</v>
      </c>
      <c r="H355" s="29" t="s">
        <v>887</v>
      </c>
      <c r="I355" s="33" t="s">
        <v>933</v>
      </c>
      <c r="J355" s="31">
        <v>1</v>
      </c>
      <c r="K355" s="31">
        <v>1</v>
      </c>
      <c r="W355" s="22" t="str">
        <f t="shared" si="8"/>
        <v>,(351,12,156,2300,3,"11","2025-09-19",1,1)</v>
      </c>
    </row>
    <row r="356" spans="2:23" x14ac:dyDescent="0.4">
      <c r="B356" s="33">
        <v>352</v>
      </c>
      <c r="C356" s="33">
        <v>352</v>
      </c>
      <c r="D356" s="33">
        <v>21</v>
      </c>
      <c r="E356" s="33">
        <v>51</v>
      </c>
      <c r="F356" s="33">
        <v>5000</v>
      </c>
      <c r="G356" s="33">
        <v>1</v>
      </c>
      <c r="H356" s="29" t="s">
        <v>887</v>
      </c>
      <c r="I356" s="33" t="s">
        <v>933</v>
      </c>
      <c r="J356" s="31">
        <v>1</v>
      </c>
      <c r="K356" s="31">
        <v>1</v>
      </c>
      <c r="W356" s="22" t="str">
        <f t="shared" si="8"/>
        <v>,(352,21,51,5000,1,"11","2025-09-19",1,1)</v>
      </c>
    </row>
    <row r="357" spans="2:23" x14ac:dyDescent="0.4">
      <c r="B357" s="33">
        <v>353</v>
      </c>
      <c r="C357" s="33">
        <v>353</v>
      </c>
      <c r="D357" s="33">
        <v>21</v>
      </c>
      <c r="E357" s="33">
        <v>57</v>
      </c>
      <c r="F357" s="33">
        <v>7150</v>
      </c>
      <c r="G357" s="33">
        <v>2</v>
      </c>
      <c r="H357" s="29" t="s">
        <v>887</v>
      </c>
      <c r="I357" s="33" t="s">
        <v>933</v>
      </c>
      <c r="J357" s="31">
        <v>1</v>
      </c>
      <c r="K357" s="31">
        <v>1</v>
      </c>
      <c r="W357" s="22" t="str">
        <f t="shared" si="8"/>
        <v>,(353,21,57,7150,2,"11","2025-09-19",1,1)</v>
      </c>
    </row>
    <row r="358" spans="2:23" x14ac:dyDescent="0.4">
      <c r="B358" s="33">
        <v>354</v>
      </c>
      <c r="C358" s="33">
        <v>354</v>
      </c>
      <c r="D358" s="33">
        <v>21</v>
      </c>
      <c r="E358" s="33">
        <v>60</v>
      </c>
      <c r="F358" s="33">
        <v>4900</v>
      </c>
      <c r="G358" s="33">
        <v>1</v>
      </c>
      <c r="H358" s="29" t="s">
        <v>887</v>
      </c>
      <c r="I358" s="33" t="s">
        <v>933</v>
      </c>
      <c r="J358" s="31">
        <v>1</v>
      </c>
      <c r="K358" s="31">
        <v>1</v>
      </c>
      <c r="W358" s="22" t="str">
        <f t="shared" si="8"/>
        <v>,(354,21,60,4900,1,"11","2025-09-19",1,1)</v>
      </c>
    </row>
    <row r="359" spans="2:23" x14ac:dyDescent="0.4">
      <c r="B359" s="33">
        <v>355</v>
      </c>
      <c r="C359" s="33">
        <v>355</v>
      </c>
      <c r="D359" s="33">
        <v>21</v>
      </c>
      <c r="E359" s="33">
        <v>62</v>
      </c>
      <c r="F359" s="33">
        <v>6900</v>
      </c>
      <c r="G359" s="33">
        <v>1</v>
      </c>
      <c r="H359" s="29" t="s">
        <v>887</v>
      </c>
      <c r="I359" s="33" t="s">
        <v>933</v>
      </c>
      <c r="J359" s="31">
        <v>1</v>
      </c>
      <c r="K359" s="31">
        <v>1</v>
      </c>
      <c r="W359" s="22" t="str">
        <f t="shared" si="8"/>
        <v>,(355,21,62,6900,1,"11","2025-09-19",1,1)</v>
      </c>
    </row>
    <row r="360" spans="2:23" x14ac:dyDescent="0.4">
      <c r="B360" s="33">
        <v>356</v>
      </c>
      <c r="C360" s="33">
        <v>356</v>
      </c>
      <c r="D360" s="33">
        <v>21</v>
      </c>
      <c r="E360" s="33">
        <v>63</v>
      </c>
      <c r="F360" s="33">
        <v>10900</v>
      </c>
      <c r="G360" s="33">
        <v>1</v>
      </c>
      <c r="H360" s="29" t="s">
        <v>887</v>
      </c>
      <c r="I360" s="33" t="s">
        <v>933</v>
      </c>
      <c r="J360" s="31">
        <v>1</v>
      </c>
      <c r="K360" s="31">
        <v>1</v>
      </c>
      <c r="W360" s="22" t="str">
        <f t="shared" si="8"/>
        <v>,(356,21,63,10900,1,"11","2025-09-19",1,1)</v>
      </c>
    </row>
    <row r="361" spans="2:23" x14ac:dyDescent="0.4">
      <c r="B361" s="33">
        <v>357</v>
      </c>
      <c r="C361" s="33">
        <v>357</v>
      </c>
      <c r="D361" s="33">
        <v>11</v>
      </c>
      <c r="E361" s="33">
        <v>161</v>
      </c>
      <c r="F361" s="33">
        <v>6570</v>
      </c>
      <c r="G361" s="33">
        <v>1</v>
      </c>
      <c r="H361" s="29" t="s">
        <v>887</v>
      </c>
      <c r="I361" s="33" t="s">
        <v>933</v>
      </c>
      <c r="J361" s="31">
        <v>1</v>
      </c>
      <c r="K361" s="31">
        <v>1</v>
      </c>
      <c r="W361" s="22" t="str">
        <f t="shared" si="8"/>
        <v>,(357,11,161,6570,1,"11","2025-09-19",1,1)</v>
      </c>
    </row>
    <row r="362" spans="2:23" x14ac:dyDescent="0.4">
      <c r="B362" s="33">
        <v>358</v>
      </c>
      <c r="C362" s="33">
        <v>358</v>
      </c>
      <c r="D362" s="33">
        <v>18</v>
      </c>
      <c r="E362" s="33">
        <v>161</v>
      </c>
      <c r="F362" s="33">
        <v>6570</v>
      </c>
      <c r="G362" s="33">
        <v>1</v>
      </c>
      <c r="H362" s="29" t="s">
        <v>887</v>
      </c>
      <c r="I362" s="33" t="s">
        <v>933</v>
      </c>
      <c r="J362" s="31">
        <v>1</v>
      </c>
      <c r="K362" s="31">
        <v>1</v>
      </c>
      <c r="W362" s="22" t="str">
        <f t="shared" si="8"/>
        <v>,(358,18,161,6570,1,"11","2025-09-19",1,1)</v>
      </c>
    </row>
    <row r="363" spans="2:23" x14ac:dyDescent="0.4">
      <c r="B363" s="33">
        <v>359</v>
      </c>
      <c r="C363" s="33">
        <v>359</v>
      </c>
      <c r="D363" s="33">
        <v>21</v>
      </c>
      <c r="E363" s="33">
        <v>161</v>
      </c>
      <c r="F363" s="33">
        <v>6570</v>
      </c>
      <c r="G363" s="33">
        <v>1</v>
      </c>
      <c r="H363" s="29" t="s">
        <v>887</v>
      </c>
      <c r="I363" s="33" t="s">
        <v>933</v>
      </c>
      <c r="J363" s="31">
        <v>1</v>
      </c>
      <c r="K363" s="31">
        <v>1</v>
      </c>
      <c r="W363" s="22" t="str">
        <f t="shared" si="8"/>
        <v>,(359,21,161,6570,1,"11","2025-09-19",1,1)</v>
      </c>
    </row>
    <row r="364" spans="2:23" x14ac:dyDescent="0.4">
      <c r="B364" s="33">
        <v>360</v>
      </c>
      <c r="C364" s="33">
        <v>360</v>
      </c>
      <c r="D364" s="33">
        <v>11</v>
      </c>
      <c r="E364" s="33">
        <v>66</v>
      </c>
      <c r="F364" s="33">
        <v>7100</v>
      </c>
      <c r="G364" s="33">
        <v>1</v>
      </c>
      <c r="H364" s="29" t="s">
        <v>887</v>
      </c>
      <c r="I364" s="33" t="s">
        <v>933</v>
      </c>
      <c r="J364" s="31">
        <v>1</v>
      </c>
      <c r="K364" s="31">
        <v>1</v>
      </c>
      <c r="W364" s="22" t="str">
        <f t="shared" si="8"/>
        <v>,(360,11,66,7100,1,"11","2025-09-19",1,1)</v>
      </c>
    </row>
    <row r="365" spans="2:23" x14ac:dyDescent="0.4">
      <c r="B365" s="33">
        <v>361</v>
      </c>
      <c r="C365" s="33">
        <v>361</v>
      </c>
      <c r="D365" s="33">
        <v>11</v>
      </c>
      <c r="E365" s="33">
        <v>75</v>
      </c>
      <c r="F365" s="33">
        <v>11690</v>
      </c>
      <c r="G365" s="33">
        <v>1</v>
      </c>
      <c r="H365" s="29" t="s">
        <v>887</v>
      </c>
      <c r="I365" s="33" t="s">
        <v>933</v>
      </c>
      <c r="J365" s="31">
        <v>1</v>
      </c>
      <c r="K365" s="31">
        <v>1</v>
      </c>
      <c r="W365" s="22" t="str">
        <f t="shared" si="8"/>
        <v>,(361,11,75,11690,1,"11","2025-09-19",1,1)</v>
      </c>
    </row>
    <row r="366" spans="2:23" x14ac:dyDescent="0.4">
      <c r="B366" s="33">
        <v>362</v>
      </c>
      <c r="C366" s="33">
        <v>362</v>
      </c>
      <c r="D366" s="33">
        <v>18</v>
      </c>
      <c r="E366" s="33">
        <v>75</v>
      </c>
      <c r="F366" s="33">
        <v>11690</v>
      </c>
      <c r="G366" s="33">
        <v>1</v>
      </c>
      <c r="H366" s="29" t="s">
        <v>887</v>
      </c>
      <c r="I366" s="33" t="s">
        <v>933</v>
      </c>
      <c r="J366" s="31">
        <v>1</v>
      </c>
      <c r="K366" s="31">
        <v>1</v>
      </c>
      <c r="W366" s="22" t="str">
        <f t="shared" si="8"/>
        <v>,(362,18,75,11690,1,"11","2025-09-19",1,1)</v>
      </c>
    </row>
    <row r="367" spans="2:23" x14ac:dyDescent="0.4">
      <c r="B367" s="33">
        <v>363</v>
      </c>
      <c r="C367" s="33">
        <v>363</v>
      </c>
      <c r="D367" s="33">
        <v>21</v>
      </c>
      <c r="E367" s="33">
        <v>75</v>
      </c>
      <c r="F367" s="33">
        <v>11690</v>
      </c>
      <c r="G367" s="33">
        <v>1</v>
      </c>
      <c r="H367" s="29" t="s">
        <v>887</v>
      </c>
      <c r="I367" s="33" t="s">
        <v>933</v>
      </c>
      <c r="J367" s="31">
        <v>1</v>
      </c>
      <c r="K367" s="31">
        <v>1</v>
      </c>
      <c r="W367" s="22" t="str">
        <f t="shared" si="8"/>
        <v>,(363,21,75,11690,1,"11","2025-09-19",1,1)</v>
      </c>
    </row>
    <row r="368" spans="2:23" x14ac:dyDescent="0.4">
      <c r="B368" s="33">
        <v>364</v>
      </c>
      <c r="C368" s="33">
        <v>364</v>
      </c>
      <c r="D368" s="33">
        <v>18</v>
      </c>
      <c r="E368" s="33">
        <v>167</v>
      </c>
      <c r="F368" s="33">
        <v>3450</v>
      </c>
      <c r="G368" s="33">
        <v>1</v>
      </c>
      <c r="H368" s="29" t="s">
        <v>887</v>
      </c>
      <c r="I368" s="33" t="s">
        <v>933</v>
      </c>
      <c r="J368" s="31">
        <v>1</v>
      </c>
      <c r="K368" s="31">
        <v>1</v>
      </c>
      <c r="W368" s="22" t="str">
        <f t="shared" si="8"/>
        <v>,(364,18,167,3450,1,"11","2025-09-19",1,1)</v>
      </c>
    </row>
    <row r="369" spans="2:23" x14ac:dyDescent="0.4">
      <c r="B369" s="33">
        <v>365</v>
      </c>
      <c r="C369" s="33">
        <v>365</v>
      </c>
      <c r="D369" s="33">
        <v>15</v>
      </c>
      <c r="E369" s="33">
        <v>168</v>
      </c>
      <c r="F369" s="33">
        <v>14500</v>
      </c>
      <c r="G369" s="33">
        <v>1</v>
      </c>
      <c r="H369" s="29" t="s">
        <v>887</v>
      </c>
      <c r="I369" s="33" t="s">
        <v>933</v>
      </c>
      <c r="J369" s="31">
        <v>1</v>
      </c>
      <c r="K369" s="31">
        <v>1</v>
      </c>
      <c r="W369" s="22" t="str">
        <f t="shared" si="8"/>
        <v>,(365,15,168,14500,1,"11","2025-09-19",1,1)</v>
      </c>
    </row>
    <row r="370" spans="2:23" x14ac:dyDescent="0.4">
      <c r="B370" s="33">
        <v>366</v>
      </c>
      <c r="C370" s="33">
        <v>366</v>
      </c>
      <c r="D370" s="33">
        <v>6</v>
      </c>
      <c r="E370" s="33">
        <v>134</v>
      </c>
      <c r="F370" s="33">
        <v>1490</v>
      </c>
      <c r="G370" s="33">
        <v>1</v>
      </c>
      <c r="H370" s="29" t="s">
        <v>887</v>
      </c>
      <c r="I370" s="33" t="s">
        <v>933</v>
      </c>
      <c r="J370" s="31">
        <v>1</v>
      </c>
      <c r="K370" s="31">
        <v>1</v>
      </c>
      <c r="W370" s="22" t="str">
        <f t="shared" si="8"/>
        <v>,(366,6,134,1490,1,"11","2025-09-19",1,1)</v>
      </c>
    </row>
    <row r="371" spans="2:23" x14ac:dyDescent="0.4">
      <c r="B371" s="33">
        <v>367</v>
      </c>
      <c r="C371" s="33">
        <v>367</v>
      </c>
      <c r="D371" s="33">
        <v>4</v>
      </c>
      <c r="E371" s="33">
        <v>82</v>
      </c>
      <c r="F371" s="33">
        <v>2990</v>
      </c>
      <c r="G371" s="33">
        <v>1</v>
      </c>
      <c r="H371" s="29" t="s">
        <v>887</v>
      </c>
      <c r="I371" s="33" t="s">
        <v>932</v>
      </c>
      <c r="J371" s="31">
        <v>1</v>
      </c>
      <c r="K371" s="31">
        <v>1</v>
      </c>
      <c r="W371" s="22" t="str">
        <f t="shared" ref="W371:W432" si="9">_xlfn.CONCAT(IF(B371=1,"",","),"(",_xlfn.TEXTJOIN(",",TRUE,C371:V371),")")</f>
        <v>,(367,4,82,2990,1,"11","2025-10-01",1,1)</v>
      </c>
    </row>
    <row r="372" spans="2:23" x14ac:dyDescent="0.4">
      <c r="B372" s="33">
        <v>368</v>
      </c>
      <c r="C372" s="33">
        <v>368</v>
      </c>
      <c r="D372" s="33">
        <v>4</v>
      </c>
      <c r="E372" s="33">
        <v>87</v>
      </c>
      <c r="F372" s="33">
        <v>7670</v>
      </c>
      <c r="G372" s="33">
        <v>2</v>
      </c>
      <c r="H372" s="29" t="s">
        <v>887</v>
      </c>
      <c r="I372" s="33" t="s">
        <v>932</v>
      </c>
      <c r="J372" s="31">
        <v>1</v>
      </c>
      <c r="K372" s="31">
        <v>1</v>
      </c>
      <c r="W372" s="22" t="str">
        <f t="shared" si="9"/>
        <v>,(368,4,87,7670,2,"11","2025-10-01",1,1)</v>
      </c>
    </row>
    <row r="373" spans="2:23" x14ac:dyDescent="0.4">
      <c r="B373" s="33">
        <v>369</v>
      </c>
      <c r="C373" s="33">
        <v>369</v>
      </c>
      <c r="D373" s="33">
        <v>4</v>
      </c>
      <c r="E373" s="33">
        <v>161</v>
      </c>
      <c r="F373" s="33">
        <v>6570</v>
      </c>
      <c r="G373" s="33">
        <v>1</v>
      </c>
      <c r="H373" s="29" t="s">
        <v>887</v>
      </c>
      <c r="I373" s="33" t="s">
        <v>932</v>
      </c>
      <c r="J373" s="31">
        <v>1</v>
      </c>
      <c r="K373" s="31">
        <v>1</v>
      </c>
      <c r="W373" s="22" t="str">
        <f t="shared" si="9"/>
        <v>,(369,4,161,6570,1,"11","2025-10-01",1,1)</v>
      </c>
    </row>
    <row r="374" spans="2:23" x14ac:dyDescent="0.4">
      <c r="B374" s="33">
        <v>370</v>
      </c>
      <c r="C374" s="33">
        <v>370</v>
      </c>
      <c r="D374" s="33">
        <v>4</v>
      </c>
      <c r="E374" s="33">
        <v>120</v>
      </c>
      <c r="F374" s="33">
        <v>4600</v>
      </c>
      <c r="G374" s="33">
        <v>1</v>
      </c>
      <c r="H374" s="29" t="s">
        <v>887</v>
      </c>
      <c r="I374" s="33" t="s">
        <v>932</v>
      </c>
      <c r="J374" s="31">
        <v>1</v>
      </c>
      <c r="K374" s="31">
        <v>1</v>
      </c>
      <c r="W374" s="22" t="str">
        <f t="shared" si="9"/>
        <v>,(370,4,120,4600,1,"11","2025-10-01",1,1)</v>
      </c>
    </row>
    <row r="375" spans="2:23" x14ac:dyDescent="0.4">
      <c r="B375" s="33">
        <v>371</v>
      </c>
      <c r="C375" s="33">
        <v>371</v>
      </c>
      <c r="D375" s="33">
        <v>4</v>
      </c>
      <c r="E375" s="33">
        <v>113</v>
      </c>
      <c r="F375" s="33">
        <v>560</v>
      </c>
      <c r="G375" s="33">
        <v>20</v>
      </c>
      <c r="H375" s="29" t="s">
        <v>887</v>
      </c>
      <c r="I375" s="33" t="s">
        <v>932</v>
      </c>
      <c r="J375" s="31">
        <v>1</v>
      </c>
      <c r="K375" s="31">
        <v>1</v>
      </c>
      <c r="W375" s="22" t="str">
        <f t="shared" si="9"/>
        <v>,(371,4,113,560,20,"11","2025-10-01",1,1)</v>
      </c>
    </row>
    <row r="376" spans="2:23" x14ac:dyDescent="0.4">
      <c r="B376" s="33">
        <v>372</v>
      </c>
      <c r="C376" s="33">
        <v>372</v>
      </c>
      <c r="D376" s="33">
        <v>4</v>
      </c>
      <c r="E376" s="33">
        <v>127</v>
      </c>
      <c r="F376" s="33">
        <v>2390</v>
      </c>
      <c r="G376" s="33">
        <v>1</v>
      </c>
      <c r="H376" s="29" t="s">
        <v>887</v>
      </c>
      <c r="I376" s="33" t="s">
        <v>932</v>
      </c>
      <c r="J376" s="31">
        <v>1</v>
      </c>
      <c r="K376" s="31">
        <v>1</v>
      </c>
      <c r="W376" s="22" t="str">
        <f t="shared" si="9"/>
        <v>,(372,4,127,2390,1,"11","2025-10-01",1,1)</v>
      </c>
    </row>
    <row r="377" spans="2:23" x14ac:dyDescent="0.4">
      <c r="B377" s="33">
        <v>373</v>
      </c>
      <c r="C377" s="33">
        <v>373</v>
      </c>
      <c r="D377" s="33">
        <v>4</v>
      </c>
      <c r="E377" s="33">
        <v>102</v>
      </c>
      <c r="F377" s="33">
        <v>40000</v>
      </c>
      <c r="G377" s="33">
        <v>3</v>
      </c>
      <c r="H377" s="29" t="s">
        <v>887</v>
      </c>
      <c r="I377" s="33" t="s">
        <v>932</v>
      </c>
      <c r="J377" s="31">
        <v>1</v>
      </c>
      <c r="K377" s="31">
        <v>1</v>
      </c>
      <c r="W377" s="22" t="str">
        <f t="shared" si="9"/>
        <v>,(373,4,102,40000,3,"11","2025-10-01",1,1)</v>
      </c>
    </row>
    <row r="378" spans="2:23" x14ac:dyDescent="0.4">
      <c r="B378" s="33">
        <v>374</v>
      </c>
      <c r="C378" s="33">
        <v>374</v>
      </c>
      <c r="D378" s="33">
        <v>4</v>
      </c>
      <c r="E378" s="33">
        <v>85</v>
      </c>
      <c r="F378" s="33">
        <v>2600</v>
      </c>
      <c r="G378" s="33">
        <v>1</v>
      </c>
      <c r="H378" s="29" t="s">
        <v>887</v>
      </c>
      <c r="I378" s="33" t="s">
        <v>931</v>
      </c>
      <c r="J378" s="31">
        <v>1</v>
      </c>
      <c r="K378" s="31">
        <v>1</v>
      </c>
      <c r="W378" s="22" t="str">
        <f t="shared" si="9"/>
        <v>,(374,4,85,2600,1,"11","2025-10-17",1,1)</v>
      </c>
    </row>
    <row r="379" spans="2:23" x14ac:dyDescent="0.4">
      <c r="B379" s="33">
        <v>375</v>
      </c>
      <c r="C379" s="33">
        <v>375</v>
      </c>
      <c r="D379" s="33">
        <v>12</v>
      </c>
      <c r="E379" s="33">
        <v>85</v>
      </c>
      <c r="F379" s="33">
        <v>2600</v>
      </c>
      <c r="G379" s="33">
        <v>1</v>
      </c>
      <c r="H379" s="29" t="s">
        <v>887</v>
      </c>
      <c r="I379" s="33" t="s">
        <v>931</v>
      </c>
      <c r="J379" s="31">
        <v>1</v>
      </c>
      <c r="K379" s="31">
        <v>1</v>
      </c>
      <c r="W379" s="22" t="str">
        <f t="shared" si="9"/>
        <v>,(375,12,85,2600,1,"11","2025-10-17",1,1)</v>
      </c>
    </row>
    <row r="380" spans="2:23" x14ac:dyDescent="0.4">
      <c r="B380" s="33">
        <v>376</v>
      </c>
      <c r="C380" s="33">
        <v>376</v>
      </c>
      <c r="D380" s="33">
        <v>4</v>
      </c>
      <c r="E380" s="33">
        <v>86</v>
      </c>
      <c r="F380" s="33">
        <v>2280</v>
      </c>
      <c r="G380" s="33">
        <v>1</v>
      </c>
      <c r="H380" s="29" t="s">
        <v>887</v>
      </c>
      <c r="I380" s="33" t="s">
        <v>931</v>
      </c>
      <c r="J380" s="31">
        <v>1</v>
      </c>
      <c r="K380" s="31">
        <v>1</v>
      </c>
      <c r="W380" s="22" t="str">
        <f t="shared" si="9"/>
        <v>,(376,4,86,2280,1,"11","2025-10-17",1,1)</v>
      </c>
    </row>
    <row r="381" spans="2:23" x14ac:dyDescent="0.4">
      <c r="B381" s="33">
        <v>377</v>
      </c>
      <c r="C381" s="33">
        <v>377</v>
      </c>
      <c r="D381" s="33">
        <v>4</v>
      </c>
      <c r="E381" s="33">
        <v>55</v>
      </c>
      <c r="F381" s="33">
        <v>4780</v>
      </c>
      <c r="G381" s="33">
        <v>1</v>
      </c>
      <c r="H381" s="29" t="s">
        <v>887</v>
      </c>
      <c r="I381" s="33" t="s">
        <v>931</v>
      </c>
      <c r="J381" s="31">
        <v>1</v>
      </c>
      <c r="K381" s="31">
        <v>1</v>
      </c>
      <c r="W381" s="22" t="str">
        <f t="shared" si="9"/>
        <v>,(377,4,55,4780,1,"11","2025-10-17",1,1)</v>
      </c>
    </row>
    <row r="382" spans="2:23" x14ac:dyDescent="0.4">
      <c r="B382" s="33">
        <v>378</v>
      </c>
      <c r="C382" s="33">
        <v>378</v>
      </c>
      <c r="D382" s="33">
        <v>12</v>
      </c>
      <c r="E382" s="33">
        <v>61</v>
      </c>
      <c r="F382" s="33">
        <v>10000</v>
      </c>
      <c r="G382" s="33">
        <v>2</v>
      </c>
      <c r="H382" s="29" t="s">
        <v>887</v>
      </c>
      <c r="I382" s="33" t="s">
        <v>931</v>
      </c>
      <c r="J382" s="31">
        <v>1</v>
      </c>
      <c r="K382" s="31">
        <v>1</v>
      </c>
      <c r="W382" s="22" t="str">
        <f t="shared" si="9"/>
        <v>,(378,12,61,10000,2,"11","2025-10-17",1,1)</v>
      </c>
    </row>
    <row r="383" spans="2:23" x14ac:dyDescent="0.4">
      <c r="B383" s="33">
        <v>379</v>
      </c>
      <c r="C383" s="33">
        <v>379</v>
      </c>
      <c r="D383" s="33">
        <v>4</v>
      </c>
      <c r="E383" s="33">
        <v>161</v>
      </c>
      <c r="F383" s="33">
        <v>6570</v>
      </c>
      <c r="G383" s="33">
        <v>1</v>
      </c>
      <c r="H383" s="29" t="s">
        <v>887</v>
      </c>
      <c r="I383" s="33" t="s">
        <v>931</v>
      </c>
      <c r="J383" s="31">
        <v>1</v>
      </c>
      <c r="K383" s="31">
        <v>1</v>
      </c>
      <c r="W383" s="22" t="str">
        <f t="shared" si="9"/>
        <v>,(379,4,161,6570,1,"11","2025-10-17",1,1)</v>
      </c>
    </row>
    <row r="384" spans="2:23" x14ac:dyDescent="0.4">
      <c r="B384" s="33">
        <v>380</v>
      </c>
      <c r="C384" s="33">
        <v>380</v>
      </c>
      <c r="D384" s="33">
        <v>12</v>
      </c>
      <c r="E384" s="33">
        <v>72</v>
      </c>
      <c r="F384" s="33">
        <v>7990</v>
      </c>
      <c r="G384" s="33">
        <v>1</v>
      </c>
      <c r="H384" s="29" t="s">
        <v>887</v>
      </c>
      <c r="I384" s="33" t="s">
        <v>931</v>
      </c>
      <c r="J384" s="31">
        <v>1</v>
      </c>
      <c r="K384" s="31">
        <v>1</v>
      </c>
      <c r="W384" s="22" t="str">
        <f t="shared" si="9"/>
        <v>,(380,12,72,7990,1,"11","2025-10-17",1,1)</v>
      </c>
    </row>
    <row r="385" spans="2:23" x14ac:dyDescent="0.4">
      <c r="B385" s="33">
        <v>381</v>
      </c>
      <c r="C385" s="33">
        <v>381</v>
      </c>
      <c r="D385" s="33">
        <v>12</v>
      </c>
      <c r="E385" s="33">
        <v>162</v>
      </c>
      <c r="F385" s="33">
        <v>4140</v>
      </c>
      <c r="G385" s="33">
        <v>3</v>
      </c>
      <c r="H385" s="29" t="s">
        <v>887</v>
      </c>
      <c r="I385" s="33" t="s">
        <v>931</v>
      </c>
      <c r="J385" s="31">
        <v>1</v>
      </c>
      <c r="K385" s="31">
        <v>1</v>
      </c>
      <c r="W385" s="22" t="str">
        <f t="shared" si="9"/>
        <v>,(381,12,162,4140,3,"11","2025-10-17",1,1)</v>
      </c>
    </row>
    <row r="386" spans="2:23" x14ac:dyDescent="0.4">
      <c r="B386" s="33">
        <v>382</v>
      </c>
      <c r="C386" s="33">
        <v>382</v>
      </c>
      <c r="D386" s="33">
        <v>12</v>
      </c>
      <c r="E386" s="33">
        <v>164</v>
      </c>
      <c r="F386" s="33">
        <v>4650</v>
      </c>
      <c r="G386" s="33">
        <v>2</v>
      </c>
      <c r="H386" s="29" t="s">
        <v>887</v>
      </c>
      <c r="I386" s="33" t="s">
        <v>931</v>
      </c>
      <c r="J386" s="31">
        <v>1</v>
      </c>
      <c r="K386" s="31">
        <v>1</v>
      </c>
      <c r="W386" s="22" t="str">
        <f t="shared" si="9"/>
        <v>,(382,12,164,4650,2,"11","2025-10-17",1,1)</v>
      </c>
    </row>
    <row r="387" spans="2:23" x14ac:dyDescent="0.4">
      <c r="B387" s="33">
        <v>383</v>
      </c>
      <c r="C387" s="33">
        <v>383</v>
      </c>
      <c r="D387" s="33">
        <v>12</v>
      </c>
      <c r="E387" s="33">
        <v>112</v>
      </c>
      <c r="F387" s="33">
        <v>2990</v>
      </c>
      <c r="G387" s="33">
        <v>1</v>
      </c>
      <c r="H387" s="29" t="s">
        <v>887</v>
      </c>
      <c r="I387" s="33" t="s">
        <v>931</v>
      </c>
      <c r="J387" s="31">
        <v>1</v>
      </c>
      <c r="K387" s="31">
        <v>1</v>
      </c>
      <c r="W387" s="22" t="str">
        <f t="shared" si="9"/>
        <v>,(383,12,112,2990,1,"11","2025-10-17",1,1)</v>
      </c>
    </row>
    <row r="388" spans="2:23" x14ac:dyDescent="0.4">
      <c r="B388" s="33">
        <v>384</v>
      </c>
      <c r="C388" s="33">
        <v>384</v>
      </c>
      <c r="D388" s="33">
        <v>4</v>
      </c>
      <c r="E388" s="33">
        <v>129</v>
      </c>
      <c r="F388" s="33">
        <v>2120</v>
      </c>
      <c r="G388" s="33">
        <v>1</v>
      </c>
      <c r="H388" s="29" t="s">
        <v>887</v>
      </c>
      <c r="I388" s="33" t="s">
        <v>931</v>
      </c>
      <c r="J388" s="31">
        <v>1</v>
      </c>
      <c r="K388" s="31">
        <v>1</v>
      </c>
      <c r="W388" s="22" t="str">
        <f t="shared" si="9"/>
        <v>,(384,4,129,2120,1,"11","2025-10-17",1,1)</v>
      </c>
    </row>
    <row r="389" spans="2:23" x14ac:dyDescent="0.4">
      <c r="B389" s="33">
        <v>385</v>
      </c>
      <c r="C389" s="33">
        <v>385</v>
      </c>
      <c r="D389" s="33">
        <v>4</v>
      </c>
      <c r="E389" s="33">
        <v>139</v>
      </c>
      <c r="F389" s="33">
        <v>2120</v>
      </c>
      <c r="G389" s="33">
        <v>1</v>
      </c>
      <c r="H389" s="29" t="s">
        <v>887</v>
      </c>
      <c r="I389" s="33" t="s">
        <v>931</v>
      </c>
      <c r="J389" s="31">
        <v>1</v>
      </c>
      <c r="K389" s="31">
        <v>1</v>
      </c>
      <c r="W389" s="22" t="str">
        <f t="shared" si="9"/>
        <v>,(385,4,139,2120,1,"11","2025-10-17",1,1)</v>
      </c>
    </row>
    <row r="390" spans="2:23" x14ac:dyDescent="0.4">
      <c r="B390" s="33">
        <v>386</v>
      </c>
      <c r="C390" s="33">
        <v>386</v>
      </c>
      <c r="D390" s="33">
        <v>19</v>
      </c>
      <c r="E390" s="33">
        <v>46</v>
      </c>
      <c r="F390" s="33">
        <v>38930</v>
      </c>
      <c r="G390" s="33">
        <v>1</v>
      </c>
      <c r="H390" s="29" t="s">
        <v>887</v>
      </c>
      <c r="I390" s="33" t="s">
        <v>947</v>
      </c>
      <c r="J390" s="31">
        <v>1</v>
      </c>
      <c r="K390" s="31">
        <v>1</v>
      </c>
      <c r="W390" s="22" t="str">
        <f t="shared" si="9"/>
        <v>,(386,19,46,38930,1,"11","2025-11-01",1,1)</v>
      </c>
    </row>
    <row r="391" spans="2:23" x14ac:dyDescent="0.4">
      <c r="B391" s="33">
        <v>387</v>
      </c>
      <c r="C391" s="33">
        <v>387</v>
      </c>
      <c r="D391" s="33">
        <v>19</v>
      </c>
      <c r="E391" s="33">
        <v>49</v>
      </c>
      <c r="F391" s="33">
        <v>10140</v>
      </c>
      <c r="G391" s="33">
        <v>1</v>
      </c>
      <c r="H391" s="29" t="s">
        <v>887</v>
      </c>
      <c r="I391" s="33" t="s">
        <v>947</v>
      </c>
      <c r="J391" s="31">
        <v>1</v>
      </c>
      <c r="K391" s="31">
        <v>1</v>
      </c>
      <c r="W391" s="22" t="str">
        <f t="shared" si="9"/>
        <v>,(387,19,49,10140,1,"11","2025-11-01",1,1)</v>
      </c>
    </row>
    <row r="392" spans="2:23" x14ac:dyDescent="0.4">
      <c r="B392" s="33">
        <v>388</v>
      </c>
      <c r="C392" s="33">
        <v>388</v>
      </c>
      <c r="D392" s="33">
        <v>22</v>
      </c>
      <c r="E392" s="33">
        <v>44</v>
      </c>
      <c r="F392" s="33">
        <v>10080</v>
      </c>
      <c r="G392" s="33">
        <v>5</v>
      </c>
      <c r="H392" s="29" t="s">
        <v>887</v>
      </c>
      <c r="I392" s="33" t="s">
        <v>947</v>
      </c>
      <c r="J392" s="31">
        <v>1</v>
      </c>
      <c r="K392" s="31">
        <v>1</v>
      </c>
      <c r="W392" s="22" t="str">
        <f t="shared" si="9"/>
        <v>,(388,22,44,10080,5,"11","2025-11-01",1,1)</v>
      </c>
    </row>
    <row r="393" spans="2:23" x14ac:dyDescent="0.4">
      <c r="B393" s="33">
        <v>389</v>
      </c>
      <c r="C393" s="33">
        <v>389</v>
      </c>
      <c r="D393" s="33">
        <v>19</v>
      </c>
      <c r="E393" s="33">
        <v>106</v>
      </c>
      <c r="F393" s="33">
        <v>6770</v>
      </c>
      <c r="G393" s="33">
        <v>2</v>
      </c>
      <c r="H393" s="29" t="s">
        <v>887</v>
      </c>
      <c r="I393" s="33" t="s">
        <v>947</v>
      </c>
      <c r="J393" s="31">
        <v>1</v>
      </c>
      <c r="K393" s="31">
        <v>1</v>
      </c>
      <c r="W393" s="22" t="str">
        <f t="shared" si="9"/>
        <v>,(389,19,106,6770,2,"11","2025-11-01",1,1)</v>
      </c>
    </row>
    <row r="394" spans="2:23" x14ac:dyDescent="0.4">
      <c r="B394" s="33">
        <v>390</v>
      </c>
      <c r="C394" s="33">
        <v>390</v>
      </c>
      <c r="D394" s="33">
        <v>18</v>
      </c>
      <c r="E394" s="33">
        <v>50</v>
      </c>
      <c r="F394" s="33">
        <v>21840</v>
      </c>
      <c r="G394" s="33">
        <v>1</v>
      </c>
      <c r="H394" s="29" t="s">
        <v>887</v>
      </c>
      <c r="I394" s="33" t="s">
        <v>947</v>
      </c>
      <c r="J394" s="31">
        <v>1</v>
      </c>
      <c r="K394" s="31">
        <v>1</v>
      </c>
      <c r="W394" s="22" t="str">
        <f t="shared" si="9"/>
        <v>,(390,18,50,21840,1,"11","2025-11-01",1,1)</v>
      </c>
    </row>
    <row r="395" spans="2:23" x14ac:dyDescent="0.4">
      <c r="B395" s="33">
        <v>391</v>
      </c>
      <c r="C395" s="33">
        <v>391</v>
      </c>
      <c r="D395" s="33">
        <v>19</v>
      </c>
      <c r="E395" s="33">
        <v>101</v>
      </c>
      <c r="F395" s="33">
        <v>5700</v>
      </c>
      <c r="G395" s="33">
        <v>1</v>
      </c>
      <c r="H395" s="29" t="s">
        <v>887</v>
      </c>
      <c r="I395" s="33" t="s">
        <v>947</v>
      </c>
      <c r="J395" s="31">
        <v>1</v>
      </c>
      <c r="K395" s="31">
        <v>1</v>
      </c>
      <c r="W395" s="22" t="str">
        <f t="shared" si="9"/>
        <v>,(391,19,101,5700,1,"11","2025-11-01",1,1)</v>
      </c>
    </row>
    <row r="396" spans="2:23" x14ac:dyDescent="0.4">
      <c r="B396" s="33">
        <v>392</v>
      </c>
      <c r="C396" s="33">
        <v>392</v>
      </c>
      <c r="D396" s="33">
        <v>19</v>
      </c>
      <c r="E396" s="33">
        <v>53</v>
      </c>
      <c r="F396" s="33">
        <v>800</v>
      </c>
      <c r="G396" s="33">
        <v>10</v>
      </c>
      <c r="H396" s="29" t="s">
        <v>887</v>
      </c>
      <c r="I396" s="33" t="s">
        <v>947</v>
      </c>
      <c r="J396" s="31">
        <v>1</v>
      </c>
      <c r="K396" s="31">
        <v>1</v>
      </c>
      <c r="W396" s="22" t="str">
        <f t="shared" si="9"/>
        <v>,(392,19,53,800,10,"11","2025-11-01",1,1)</v>
      </c>
    </row>
    <row r="397" spans="2:23" x14ac:dyDescent="0.4">
      <c r="B397" s="33">
        <v>393</v>
      </c>
      <c r="C397" s="33">
        <v>393</v>
      </c>
      <c r="D397" s="33">
        <v>19</v>
      </c>
      <c r="E397" s="33">
        <v>57</v>
      </c>
      <c r="F397" s="33">
        <v>7150</v>
      </c>
      <c r="G397" s="33">
        <v>1</v>
      </c>
      <c r="H397" s="29" t="s">
        <v>887</v>
      </c>
      <c r="I397" s="33" t="s">
        <v>947</v>
      </c>
      <c r="J397" s="31">
        <v>1</v>
      </c>
      <c r="K397" s="31">
        <v>1</v>
      </c>
      <c r="W397" s="22" t="str">
        <f t="shared" si="9"/>
        <v>,(393,19,57,7150,1,"11","2025-11-01",1,1)</v>
      </c>
    </row>
    <row r="398" spans="2:23" x14ac:dyDescent="0.4">
      <c r="B398" s="33">
        <v>394</v>
      </c>
      <c r="C398" s="33">
        <v>394</v>
      </c>
      <c r="D398" s="33">
        <v>11</v>
      </c>
      <c r="E398" s="33">
        <v>161</v>
      </c>
      <c r="F398" s="33">
        <v>6570</v>
      </c>
      <c r="G398" s="33">
        <v>1</v>
      </c>
      <c r="H398" s="29" t="s">
        <v>887</v>
      </c>
      <c r="I398" s="33" t="s">
        <v>947</v>
      </c>
      <c r="J398" s="31">
        <v>1</v>
      </c>
      <c r="K398" s="31">
        <v>1</v>
      </c>
      <c r="W398" s="22" t="str">
        <f t="shared" si="9"/>
        <v>,(394,11,161,6570,1,"11","2025-11-01",1,1)</v>
      </c>
    </row>
    <row r="399" spans="2:23" x14ac:dyDescent="0.4">
      <c r="B399" s="33">
        <v>395</v>
      </c>
      <c r="C399" s="33">
        <v>395</v>
      </c>
      <c r="D399" s="33">
        <v>18</v>
      </c>
      <c r="E399" s="33">
        <v>66</v>
      </c>
      <c r="F399" s="33">
        <v>7100</v>
      </c>
      <c r="G399" s="33">
        <v>2</v>
      </c>
      <c r="H399" s="29" t="s">
        <v>887</v>
      </c>
      <c r="I399" s="33" t="s">
        <v>947</v>
      </c>
      <c r="J399" s="31">
        <v>1</v>
      </c>
      <c r="K399" s="31">
        <v>1</v>
      </c>
      <c r="W399" s="22" t="str">
        <f t="shared" si="9"/>
        <v>,(395,18,66,7100,2,"11","2025-11-01",1,1)</v>
      </c>
    </row>
    <row r="400" spans="2:23" x14ac:dyDescent="0.4">
      <c r="B400" s="33">
        <v>396</v>
      </c>
      <c r="C400" s="33">
        <v>396</v>
      </c>
      <c r="D400" s="33">
        <v>4</v>
      </c>
      <c r="E400" s="33">
        <v>69</v>
      </c>
      <c r="F400" s="33">
        <v>1000</v>
      </c>
      <c r="G400" s="33">
        <v>20</v>
      </c>
      <c r="H400" s="29" t="s">
        <v>887</v>
      </c>
      <c r="I400" s="33" t="s">
        <v>947</v>
      </c>
      <c r="J400" s="31">
        <v>1</v>
      </c>
      <c r="K400" s="31">
        <v>1</v>
      </c>
      <c r="W400" s="22" t="str">
        <f t="shared" si="9"/>
        <v>,(396,4,69,1000,20,"11","2025-11-01",1,1)</v>
      </c>
    </row>
    <row r="401" spans="2:23" x14ac:dyDescent="0.4">
      <c r="B401" s="33">
        <v>397</v>
      </c>
      <c r="C401" s="33">
        <v>397</v>
      </c>
      <c r="D401" s="33">
        <v>4</v>
      </c>
      <c r="E401" s="33">
        <v>71</v>
      </c>
      <c r="F401" s="33">
        <v>1000</v>
      </c>
      <c r="G401" s="33">
        <v>10</v>
      </c>
      <c r="H401" s="29" t="s">
        <v>887</v>
      </c>
      <c r="I401" s="33" t="s">
        <v>947</v>
      </c>
      <c r="J401" s="31">
        <v>1</v>
      </c>
      <c r="K401" s="31">
        <v>1</v>
      </c>
      <c r="W401" s="22" t="str">
        <f t="shared" si="9"/>
        <v>,(397,4,71,1000,10,"11","2025-11-01",1,1)</v>
      </c>
    </row>
    <row r="402" spans="2:23" x14ac:dyDescent="0.4">
      <c r="B402" s="33">
        <v>398</v>
      </c>
      <c r="C402" s="33">
        <v>398</v>
      </c>
      <c r="D402" s="33">
        <v>11</v>
      </c>
      <c r="E402" s="33">
        <v>75</v>
      </c>
      <c r="F402" s="33">
        <v>11690</v>
      </c>
      <c r="G402" s="33">
        <v>1</v>
      </c>
      <c r="H402" s="29" t="s">
        <v>887</v>
      </c>
      <c r="I402" s="33" t="s">
        <v>947</v>
      </c>
      <c r="J402" s="31">
        <v>1</v>
      </c>
      <c r="K402" s="31">
        <v>1</v>
      </c>
      <c r="W402" s="22" t="str">
        <f t="shared" si="9"/>
        <v>,(398,11,75,11690,1,"11","2025-11-01",1,1)</v>
      </c>
    </row>
    <row r="403" spans="2:23" x14ac:dyDescent="0.4">
      <c r="B403" s="33">
        <v>399</v>
      </c>
      <c r="C403" s="33">
        <v>399</v>
      </c>
      <c r="D403" s="33">
        <v>7</v>
      </c>
      <c r="E403" s="33">
        <v>45</v>
      </c>
      <c r="F403" s="33">
        <v>14740</v>
      </c>
      <c r="G403" s="33">
        <v>1</v>
      </c>
      <c r="H403" s="29" t="s">
        <v>887</v>
      </c>
      <c r="I403" s="33" t="s">
        <v>947</v>
      </c>
      <c r="J403" s="31">
        <v>1</v>
      </c>
      <c r="K403" s="31">
        <v>1</v>
      </c>
      <c r="W403" s="22" t="str">
        <f t="shared" si="9"/>
        <v>,(399,7,45,14740,1,"11","2025-11-01",1,1)</v>
      </c>
    </row>
    <row r="404" spans="2:23" x14ac:dyDescent="0.4">
      <c r="B404" s="33">
        <v>400</v>
      </c>
      <c r="C404" s="33">
        <v>400</v>
      </c>
      <c r="D404" s="33">
        <v>19</v>
      </c>
      <c r="E404" s="33">
        <v>165</v>
      </c>
      <c r="F404" s="33">
        <v>3770</v>
      </c>
      <c r="G404" s="33">
        <v>1</v>
      </c>
      <c r="H404" s="29" t="s">
        <v>887</v>
      </c>
      <c r="I404" s="33" t="s">
        <v>947</v>
      </c>
      <c r="J404" s="31">
        <v>1</v>
      </c>
      <c r="K404" s="31">
        <v>1</v>
      </c>
      <c r="W404" s="22" t="str">
        <f t="shared" si="9"/>
        <v>,(400,19,165,3770,1,"11","2025-11-01",1,1)</v>
      </c>
    </row>
    <row r="405" spans="2:23" x14ac:dyDescent="0.4">
      <c r="B405" s="33">
        <v>401</v>
      </c>
      <c r="C405" s="33">
        <v>401</v>
      </c>
      <c r="D405" s="33">
        <v>16</v>
      </c>
      <c r="E405" s="33">
        <v>133</v>
      </c>
      <c r="F405" s="33">
        <v>900</v>
      </c>
      <c r="G405" s="33">
        <v>24</v>
      </c>
      <c r="H405" s="29" t="s">
        <v>887</v>
      </c>
      <c r="I405" s="33" t="s">
        <v>947</v>
      </c>
      <c r="J405" s="31">
        <v>1</v>
      </c>
      <c r="K405" s="31">
        <v>1</v>
      </c>
      <c r="W405" s="22" t="str">
        <f t="shared" si="9"/>
        <v>,(401,16,133,900,24,"11","2025-11-01",1,1)</v>
      </c>
    </row>
    <row r="406" spans="2:23" x14ac:dyDescent="0.4">
      <c r="B406" s="33">
        <v>402</v>
      </c>
      <c r="C406" s="33">
        <v>402</v>
      </c>
      <c r="D406" s="33">
        <v>19</v>
      </c>
      <c r="E406" s="33">
        <v>105</v>
      </c>
      <c r="F406" s="33">
        <v>11100</v>
      </c>
      <c r="G406" s="33">
        <v>1</v>
      </c>
      <c r="H406" s="29" t="s">
        <v>887</v>
      </c>
      <c r="I406" s="33" t="s">
        <v>946</v>
      </c>
      <c r="J406" s="31">
        <v>1</v>
      </c>
      <c r="K406" s="31">
        <v>1</v>
      </c>
      <c r="W406" s="22" t="str">
        <f t="shared" si="9"/>
        <v>,(402,19,105,11100,1,"11","2025-11-06",1,1)</v>
      </c>
    </row>
    <row r="407" spans="2:23" x14ac:dyDescent="0.4">
      <c r="B407" s="33">
        <v>403</v>
      </c>
      <c r="C407" s="33">
        <v>403</v>
      </c>
      <c r="D407" s="33">
        <v>4</v>
      </c>
      <c r="E407" s="33">
        <v>47</v>
      </c>
      <c r="F407" s="33">
        <v>4320</v>
      </c>
      <c r="G407" s="33">
        <v>1</v>
      </c>
      <c r="H407" s="29" t="s">
        <v>887</v>
      </c>
      <c r="I407" s="33" t="s">
        <v>946</v>
      </c>
      <c r="J407" s="31">
        <v>1</v>
      </c>
      <c r="K407" s="31">
        <v>1</v>
      </c>
      <c r="W407" s="22" t="str">
        <f t="shared" si="9"/>
        <v>,(403,4,47,4320,1,"11","2025-11-06",1,1)</v>
      </c>
    </row>
    <row r="408" spans="2:23" x14ac:dyDescent="0.4">
      <c r="B408" s="33">
        <v>404</v>
      </c>
      <c r="C408" s="33">
        <v>404</v>
      </c>
      <c r="D408" s="33">
        <v>18</v>
      </c>
      <c r="E408" s="33">
        <v>47</v>
      </c>
      <c r="F408" s="33">
        <v>4320</v>
      </c>
      <c r="G408" s="33">
        <v>1</v>
      </c>
      <c r="H408" s="29" t="s">
        <v>887</v>
      </c>
      <c r="I408" s="33" t="s">
        <v>946</v>
      </c>
      <c r="J408" s="31">
        <v>1</v>
      </c>
      <c r="K408" s="31">
        <v>1</v>
      </c>
      <c r="W408" s="22" t="str">
        <f t="shared" si="9"/>
        <v>,(404,18,47,4320,1,"11","2025-11-06",1,1)</v>
      </c>
    </row>
    <row r="409" spans="2:23" x14ac:dyDescent="0.4">
      <c r="B409" s="33">
        <v>405</v>
      </c>
      <c r="C409" s="33">
        <v>405</v>
      </c>
      <c r="D409" s="33">
        <v>22</v>
      </c>
      <c r="E409" s="33">
        <v>47</v>
      </c>
      <c r="F409" s="33">
        <v>4320</v>
      </c>
      <c r="G409" s="33">
        <v>3</v>
      </c>
      <c r="H409" s="29" t="s">
        <v>887</v>
      </c>
      <c r="I409" s="33" t="s">
        <v>946</v>
      </c>
      <c r="J409" s="31">
        <v>1</v>
      </c>
      <c r="K409" s="31">
        <v>1</v>
      </c>
      <c r="W409" s="22" t="str">
        <f t="shared" si="9"/>
        <v>,(405,22,47,4320,3,"11","2025-11-06",1,1)</v>
      </c>
    </row>
    <row r="410" spans="2:23" x14ac:dyDescent="0.4">
      <c r="B410" s="33">
        <v>406</v>
      </c>
      <c r="C410" s="33">
        <v>406</v>
      </c>
      <c r="D410" s="33">
        <v>4</v>
      </c>
      <c r="E410" s="33">
        <v>119</v>
      </c>
      <c r="F410" s="33">
        <v>780</v>
      </c>
      <c r="G410" s="33">
        <v>4</v>
      </c>
      <c r="H410" s="29" t="s">
        <v>887</v>
      </c>
      <c r="I410" s="33" t="s">
        <v>946</v>
      </c>
      <c r="J410" s="31">
        <v>1</v>
      </c>
      <c r="K410" s="31">
        <v>1</v>
      </c>
      <c r="W410" s="22" t="str">
        <f t="shared" si="9"/>
        <v>,(406,4,119,780,4,"11","2025-11-06",1,1)</v>
      </c>
    </row>
    <row r="411" spans="2:23" x14ac:dyDescent="0.4">
      <c r="B411" s="33">
        <v>407</v>
      </c>
      <c r="C411" s="33">
        <v>407</v>
      </c>
      <c r="D411" s="33">
        <v>4</v>
      </c>
      <c r="E411" s="33">
        <v>120</v>
      </c>
      <c r="F411" s="33">
        <v>4600</v>
      </c>
      <c r="G411" s="33">
        <v>1</v>
      </c>
      <c r="H411" s="29" t="s">
        <v>887</v>
      </c>
      <c r="I411" s="33" t="s">
        <v>946</v>
      </c>
      <c r="J411" s="31">
        <v>1</v>
      </c>
      <c r="K411" s="31">
        <v>1</v>
      </c>
      <c r="W411" s="22" t="str">
        <f t="shared" si="9"/>
        <v>,(407,4,120,4600,1,"11","2025-11-06",1,1)</v>
      </c>
    </row>
    <row r="412" spans="2:23" x14ac:dyDescent="0.4">
      <c r="B412" s="33">
        <v>408</v>
      </c>
      <c r="C412" s="33">
        <v>408</v>
      </c>
      <c r="D412" s="33">
        <v>4</v>
      </c>
      <c r="E412" s="33">
        <v>121</v>
      </c>
      <c r="F412" s="33">
        <v>670</v>
      </c>
      <c r="G412" s="33">
        <v>13</v>
      </c>
      <c r="H412" s="29" t="s">
        <v>887</v>
      </c>
      <c r="I412" s="33" t="s">
        <v>946</v>
      </c>
      <c r="J412" s="31">
        <v>1</v>
      </c>
      <c r="K412" s="31">
        <v>1</v>
      </c>
      <c r="W412" s="22" t="str">
        <f t="shared" si="9"/>
        <v>,(408,4,121,670,13,"11","2025-11-06",1,1)</v>
      </c>
    </row>
    <row r="413" spans="2:23" x14ac:dyDescent="0.4">
      <c r="B413" s="33">
        <v>409</v>
      </c>
      <c r="C413" s="33">
        <v>409</v>
      </c>
      <c r="D413" s="33">
        <v>12</v>
      </c>
      <c r="E413" s="33">
        <v>121</v>
      </c>
      <c r="F413" s="33">
        <v>670</v>
      </c>
      <c r="G413" s="33">
        <v>20</v>
      </c>
      <c r="H413" s="29" t="s">
        <v>887</v>
      </c>
      <c r="I413" s="33" t="s">
        <v>946</v>
      </c>
      <c r="J413" s="31">
        <v>1</v>
      </c>
      <c r="K413" s="31">
        <v>1</v>
      </c>
      <c r="W413" s="22" t="str">
        <f t="shared" si="9"/>
        <v>,(409,12,121,670,20,"11","2025-11-06",1,1)</v>
      </c>
    </row>
    <row r="414" spans="2:23" x14ac:dyDescent="0.4">
      <c r="B414" s="33">
        <v>410</v>
      </c>
      <c r="C414" s="33">
        <v>410</v>
      </c>
      <c r="D414" s="33">
        <v>21</v>
      </c>
      <c r="E414" s="33">
        <v>69</v>
      </c>
      <c r="F414" s="33">
        <v>1500</v>
      </c>
      <c r="G414" s="33">
        <v>20</v>
      </c>
      <c r="H414" s="29" t="s">
        <v>887</v>
      </c>
      <c r="I414" s="33" t="s">
        <v>946</v>
      </c>
      <c r="J414" s="31">
        <v>1</v>
      </c>
      <c r="K414" s="31">
        <v>1</v>
      </c>
      <c r="W414" s="22" t="str">
        <f t="shared" si="9"/>
        <v>,(410,21,69,1500,20,"11","2025-11-06",1,1)</v>
      </c>
    </row>
    <row r="415" spans="2:23" x14ac:dyDescent="0.4">
      <c r="B415" s="33">
        <v>411</v>
      </c>
      <c r="C415" s="33">
        <v>411</v>
      </c>
      <c r="D415" s="33">
        <v>7</v>
      </c>
      <c r="E415" s="33">
        <v>45</v>
      </c>
      <c r="F415" s="33">
        <v>14740</v>
      </c>
      <c r="G415" s="33">
        <v>2</v>
      </c>
      <c r="H415" s="29" t="s">
        <v>887</v>
      </c>
      <c r="I415" s="33" t="s">
        <v>946</v>
      </c>
      <c r="J415" s="31">
        <v>1</v>
      </c>
      <c r="K415" s="31">
        <v>1</v>
      </c>
      <c r="W415" s="22" t="str">
        <f t="shared" si="9"/>
        <v>,(411,7,45,14740,2,"11","2025-11-06",1,1)</v>
      </c>
    </row>
    <row r="416" spans="2:23" x14ac:dyDescent="0.4">
      <c r="B416" s="33">
        <v>412</v>
      </c>
      <c r="C416" s="33">
        <v>412</v>
      </c>
      <c r="D416" s="33">
        <v>4</v>
      </c>
      <c r="E416" s="33">
        <v>130</v>
      </c>
      <c r="F416" s="33">
        <v>2850</v>
      </c>
      <c r="G416" s="33">
        <v>1</v>
      </c>
      <c r="H416" s="29" t="s">
        <v>887</v>
      </c>
      <c r="I416" s="33" t="s">
        <v>946</v>
      </c>
      <c r="J416" s="31">
        <v>1</v>
      </c>
      <c r="K416" s="31">
        <v>1</v>
      </c>
      <c r="W416" s="22" t="str">
        <f t="shared" si="9"/>
        <v>,(412,4,130,2850,1,"11","2025-11-06",1,1)</v>
      </c>
    </row>
    <row r="417" spans="2:23" x14ac:dyDescent="0.4">
      <c r="B417" s="33">
        <v>413</v>
      </c>
      <c r="C417" s="33">
        <v>413</v>
      </c>
      <c r="D417" s="33">
        <v>4</v>
      </c>
      <c r="E417" s="33">
        <v>136</v>
      </c>
      <c r="F417" s="33">
        <v>680</v>
      </c>
      <c r="G417" s="33">
        <v>3</v>
      </c>
      <c r="H417" s="29" t="s">
        <v>887</v>
      </c>
      <c r="I417" s="33" t="s">
        <v>946</v>
      </c>
      <c r="J417" s="31">
        <v>1</v>
      </c>
      <c r="K417" s="31">
        <v>1</v>
      </c>
      <c r="W417" s="22" t="str">
        <f t="shared" si="9"/>
        <v>,(413,4,136,680,3,"11","2025-11-06",1,1)</v>
      </c>
    </row>
    <row r="418" spans="2:23" x14ac:dyDescent="0.4">
      <c r="B418" s="33">
        <v>414</v>
      </c>
      <c r="C418" s="33">
        <v>414</v>
      </c>
      <c r="D418" s="33">
        <v>15</v>
      </c>
      <c r="E418" s="33">
        <v>103</v>
      </c>
      <c r="F418" s="33">
        <v>14590</v>
      </c>
      <c r="G418" s="33">
        <v>1</v>
      </c>
      <c r="H418" s="29" t="s">
        <v>887</v>
      </c>
      <c r="I418" s="33" t="s">
        <v>950</v>
      </c>
      <c r="J418" s="31">
        <v>1</v>
      </c>
      <c r="K418" s="31">
        <v>1</v>
      </c>
      <c r="W418" s="22" t="str">
        <f t="shared" si="9"/>
        <v>,(414,15,103,14590,1,"11","2025-11-08",1,1)</v>
      </c>
    </row>
    <row r="419" spans="2:23" x14ac:dyDescent="0.4">
      <c r="B419" s="33">
        <v>415</v>
      </c>
      <c r="C419" s="33">
        <v>415</v>
      </c>
      <c r="D419" s="33">
        <v>15</v>
      </c>
      <c r="E419" s="33">
        <v>105</v>
      </c>
      <c r="F419" s="33">
        <v>11100</v>
      </c>
      <c r="G419" s="33">
        <v>1</v>
      </c>
      <c r="H419" s="29" t="s">
        <v>887</v>
      </c>
      <c r="I419" s="33" t="s">
        <v>950</v>
      </c>
      <c r="J419" s="31">
        <v>1</v>
      </c>
      <c r="K419" s="31">
        <v>1</v>
      </c>
      <c r="W419" s="22" t="str">
        <f t="shared" si="9"/>
        <v>,(415,15,105,11100,1,"11","2025-11-08",1,1)</v>
      </c>
    </row>
    <row r="420" spans="2:23" x14ac:dyDescent="0.4">
      <c r="B420" s="33">
        <v>416</v>
      </c>
      <c r="C420" s="33">
        <v>416</v>
      </c>
      <c r="D420" s="33">
        <v>15</v>
      </c>
      <c r="E420" s="33">
        <v>47</v>
      </c>
      <c r="F420" s="33">
        <v>4320</v>
      </c>
      <c r="G420" s="33">
        <v>1</v>
      </c>
      <c r="H420" s="29" t="s">
        <v>887</v>
      </c>
      <c r="I420" s="33" t="s">
        <v>950</v>
      </c>
      <c r="J420" s="31">
        <v>1</v>
      </c>
      <c r="K420" s="31">
        <v>1</v>
      </c>
      <c r="W420" s="22" t="str">
        <f t="shared" si="9"/>
        <v>,(416,15,47,4320,1,"11","2025-11-08",1,1)</v>
      </c>
    </row>
    <row r="421" spans="2:23" x14ac:dyDescent="0.4">
      <c r="B421" s="33">
        <v>417</v>
      </c>
      <c r="C421" s="33">
        <v>417</v>
      </c>
      <c r="D421" s="33">
        <v>4</v>
      </c>
      <c r="E421" s="33">
        <v>130</v>
      </c>
      <c r="F421" s="33">
        <v>2850</v>
      </c>
      <c r="G421" s="33">
        <v>1</v>
      </c>
      <c r="H421" s="29" t="s">
        <v>887</v>
      </c>
      <c r="I421" s="33" t="s">
        <v>949</v>
      </c>
      <c r="J421" s="31">
        <v>1</v>
      </c>
      <c r="K421" s="31">
        <v>1</v>
      </c>
      <c r="W421" s="22" t="str">
        <f t="shared" si="9"/>
        <v>,(417,4,130,2850,1,"11","2025-11-19",1,1)</v>
      </c>
    </row>
    <row r="422" spans="2:23" x14ac:dyDescent="0.4">
      <c r="B422" s="33">
        <v>418</v>
      </c>
      <c r="C422" s="33">
        <v>418</v>
      </c>
      <c r="D422" s="33">
        <v>8</v>
      </c>
      <c r="E422" s="33">
        <v>50</v>
      </c>
      <c r="F422" s="33">
        <v>21840</v>
      </c>
      <c r="G422" s="33">
        <v>1</v>
      </c>
      <c r="H422" s="29" t="s">
        <v>887</v>
      </c>
      <c r="I422" s="33" t="s">
        <v>948</v>
      </c>
      <c r="J422" s="31">
        <v>1</v>
      </c>
      <c r="K422" s="31">
        <v>1</v>
      </c>
      <c r="W422" s="22" t="str">
        <f t="shared" si="9"/>
        <v>,(418,8,50,21840,1,"11","2025-11-21",1,1)</v>
      </c>
    </row>
    <row r="423" spans="2:23" x14ac:dyDescent="0.4">
      <c r="B423" s="33">
        <v>419</v>
      </c>
      <c r="C423" s="33">
        <v>419</v>
      </c>
      <c r="D423" s="33">
        <v>15</v>
      </c>
      <c r="E423" s="33">
        <v>105</v>
      </c>
      <c r="F423" s="33">
        <v>11100</v>
      </c>
      <c r="G423" s="33">
        <v>3</v>
      </c>
      <c r="H423" s="29" t="s">
        <v>887</v>
      </c>
      <c r="I423" s="33" t="s">
        <v>945</v>
      </c>
      <c r="J423" s="31">
        <v>1</v>
      </c>
      <c r="K423" s="31">
        <v>1</v>
      </c>
      <c r="W423" s="22" t="str">
        <f t="shared" si="9"/>
        <v>,(419,15,105,11100,3,"11","2025-12-05",1,1)</v>
      </c>
    </row>
    <row r="424" spans="2:23" x14ac:dyDescent="0.4">
      <c r="B424" s="33">
        <v>420</v>
      </c>
      <c r="C424" s="33">
        <v>420</v>
      </c>
      <c r="D424" s="33">
        <v>4</v>
      </c>
      <c r="E424" s="33">
        <v>47</v>
      </c>
      <c r="F424" s="33">
        <v>4320</v>
      </c>
      <c r="G424" s="33">
        <v>5</v>
      </c>
      <c r="H424" s="29" t="s">
        <v>887</v>
      </c>
      <c r="I424" s="33" t="s">
        <v>945</v>
      </c>
      <c r="J424" s="31">
        <v>1</v>
      </c>
      <c r="K424" s="31">
        <v>1</v>
      </c>
      <c r="W424" s="22" t="str">
        <f t="shared" si="9"/>
        <v>,(420,4,47,4320,5,"11","2025-12-05",1,1)</v>
      </c>
    </row>
    <row r="425" spans="2:23" x14ac:dyDescent="0.4">
      <c r="B425" s="33">
        <v>421</v>
      </c>
      <c r="C425" s="33">
        <v>421</v>
      </c>
      <c r="D425" s="33">
        <v>15</v>
      </c>
      <c r="E425" s="33">
        <v>47</v>
      </c>
      <c r="F425" s="33">
        <v>4320</v>
      </c>
      <c r="G425" s="33">
        <v>3</v>
      </c>
      <c r="H425" s="29" t="s">
        <v>887</v>
      </c>
      <c r="I425" s="33" t="s">
        <v>945</v>
      </c>
      <c r="J425" s="31">
        <v>1</v>
      </c>
      <c r="K425" s="31">
        <v>1</v>
      </c>
      <c r="W425" s="22" t="str">
        <f t="shared" si="9"/>
        <v>,(421,15,47,4320,3,"11","2025-12-05",1,1)</v>
      </c>
    </row>
    <row r="426" spans="2:23" x14ac:dyDescent="0.4">
      <c r="B426" s="33">
        <v>422</v>
      </c>
      <c r="C426" s="33">
        <v>422</v>
      </c>
      <c r="D426" s="33">
        <v>12</v>
      </c>
      <c r="E426" s="33">
        <v>44</v>
      </c>
      <c r="F426" s="33">
        <v>10080</v>
      </c>
      <c r="G426" s="33">
        <v>1</v>
      </c>
      <c r="H426" s="29" t="s">
        <v>887</v>
      </c>
      <c r="I426" s="33" t="s">
        <v>945</v>
      </c>
      <c r="J426" s="31">
        <v>1</v>
      </c>
      <c r="K426" s="31">
        <v>1</v>
      </c>
      <c r="W426" s="22" t="str">
        <f t="shared" si="9"/>
        <v>,(422,12,44,10080,1,"11","2025-12-05",1,1)</v>
      </c>
    </row>
    <row r="427" spans="2:23" x14ac:dyDescent="0.4">
      <c r="B427" s="33">
        <v>423</v>
      </c>
      <c r="C427" s="33">
        <v>423</v>
      </c>
      <c r="D427" s="33">
        <v>12</v>
      </c>
      <c r="E427" s="33">
        <v>66</v>
      </c>
      <c r="F427" s="33">
        <v>7100</v>
      </c>
      <c r="G427" s="33">
        <v>2</v>
      </c>
      <c r="H427" s="29" t="s">
        <v>887</v>
      </c>
      <c r="I427" s="33" t="s">
        <v>945</v>
      </c>
      <c r="J427" s="31">
        <v>1</v>
      </c>
      <c r="K427" s="31">
        <v>1</v>
      </c>
      <c r="W427" s="22" t="str">
        <f t="shared" si="9"/>
        <v>,(423,12,66,7100,2,"11","2025-12-05",1,1)</v>
      </c>
    </row>
    <row r="428" spans="2:23" x14ac:dyDescent="0.4">
      <c r="B428" s="33">
        <v>424</v>
      </c>
      <c r="C428" s="33">
        <v>424</v>
      </c>
      <c r="D428" s="33">
        <v>15</v>
      </c>
      <c r="E428" s="33">
        <v>3</v>
      </c>
      <c r="F428" s="33">
        <v>8760</v>
      </c>
      <c r="G428" s="33">
        <v>1</v>
      </c>
      <c r="H428" s="29" t="s">
        <v>887</v>
      </c>
      <c r="I428" s="33" t="s">
        <v>945</v>
      </c>
      <c r="J428" s="31">
        <v>1</v>
      </c>
      <c r="K428" s="31">
        <v>1</v>
      </c>
      <c r="W428" s="22" t="str">
        <f t="shared" si="9"/>
        <v>,(424,15,3,8760,1,"11","2025-12-05",1,1)</v>
      </c>
    </row>
    <row r="429" spans="2:23" x14ac:dyDescent="0.4">
      <c r="B429" s="33">
        <v>425</v>
      </c>
      <c r="C429" s="33">
        <v>425</v>
      </c>
      <c r="D429" s="33">
        <v>4</v>
      </c>
      <c r="E429" s="33">
        <v>164</v>
      </c>
      <c r="F429" s="33">
        <v>4650</v>
      </c>
      <c r="G429" s="33">
        <v>1</v>
      </c>
      <c r="H429" s="29" t="s">
        <v>887</v>
      </c>
      <c r="I429" s="33" t="s">
        <v>945</v>
      </c>
      <c r="J429" s="31">
        <v>1</v>
      </c>
      <c r="K429" s="31">
        <v>1</v>
      </c>
      <c r="W429" s="22" t="str">
        <f t="shared" si="9"/>
        <v>,(425,4,164,4650,1,"11","2025-12-05",1,1)</v>
      </c>
    </row>
    <row r="430" spans="2:23" x14ac:dyDescent="0.4">
      <c r="B430" s="33">
        <v>426</v>
      </c>
      <c r="C430" s="33">
        <v>426</v>
      </c>
      <c r="D430" s="33">
        <v>18</v>
      </c>
      <c r="E430" s="33">
        <v>108</v>
      </c>
      <c r="F430" s="33">
        <v>21010</v>
      </c>
      <c r="G430" s="33">
        <v>1</v>
      </c>
      <c r="H430" s="29" t="s">
        <v>887</v>
      </c>
      <c r="I430" s="33" t="s">
        <v>945</v>
      </c>
      <c r="J430" s="31">
        <v>1</v>
      </c>
      <c r="K430" s="31">
        <v>1</v>
      </c>
      <c r="W430" s="22" t="str">
        <f t="shared" si="9"/>
        <v>,(426,18,108,21010,1,"11","2025-12-05",1,1)</v>
      </c>
    </row>
    <row r="431" spans="2:23" x14ac:dyDescent="0.4">
      <c r="B431" s="33">
        <v>427</v>
      </c>
      <c r="C431" s="33">
        <v>427</v>
      </c>
      <c r="D431" s="33">
        <v>15</v>
      </c>
      <c r="E431" s="33">
        <v>14</v>
      </c>
      <c r="F431" s="33">
        <v>6640</v>
      </c>
      <c r="G431" s="33">
        <v>1</v>
      </c>
      <c r="H431" s="29" t="s">
        <v>887</v>
      </c>
      <c r="I431" s="33" t="s">
        <v>945</v>
      </c>
      <c r="J431" s="31">
        <v>1</v>
      </c>
      <c r="K431" s="31">
        <v>1</v>
      </c>
      <c r="W431" s="22" t="str">
        <f t="shared" si="9"/>
        <v>,(427,15,14,6640,1,"11","2025-12-05",1,1)</v>
      </c>
    </row>
    <row r="432" spans="2:23" x14ac:dyDescent="0.4">
      <c r="B432" s="33">
        <v>428</v>
      </c>
      <c r="C432" s="33">
        <v>428</v>
      </c>
      <c r="D432" s="33">
        <v>5</v>
      </c>
      <c r="E432" s="33">
        <v>15</v>
      </c>
      <c r="F432" s="33">
        <v>720</v>
      </c>
      <c r="G432" s="33">
        <v>20</v>
      </c>
      <c r="H432" s="29" t="s">
        <v>887</v>
      </c>
      <c r="I432" s="33" t="s">
        <v>945</v>
      </c>
      <c r="J432" s="31">
        <v>1</v>
      </c>
      <c r="K432" s="31">
        <v>1</v>
      </c>
      <c r="W432" s="22" t="str">
        <f t="shared" si="9"/>
        <v>,(428,5,15,720,20,"11","2025-12-05",1,1)</v>
      </c>
    </row>
    <row r="433" spans="23:23" x14ac:dyDescent="0.4">
      <c r="W433" s="22" t="s">
        <v>143</v>
      </c>
    </row>
  </sheetData>
  <mergeCells count="1">
    <mergeCell ref="C2:K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E5D6-4248-4400-A48F-6A536530056C}">
  <dimension ref="B1:AA30"/>
  <sheetViews>
    <sheetView topLeftCell="J4" zoomScale="85" zoomScaleNormal="85" workbookViewId="0">
      <selection activeCell="AA4" sqref="AA1:AA1048576"/>
    </sheetView>
  </sheetViews>
  <sheetFormatPr defaultRowHeight="17.399999999999999" x14ac:dyDescent="0.4"/>
  <cols>
    <col min="1" max="1" width="3.19921875" customWidth="1"/>
    <col min="2" max="2" width="11" bestFit="1" customWidth="1"/>
    <col min="3" max="3" width="13.19921875" bestFit="1" customWidth="1"/>
    <col min="4" max="4" width="21" bestFit="1" customWidth="1"/>
    <col min="5" max="5" width="14.69921875" bestFit="1" customWidth="1"/>
    <col min="6" max="6" width="15.59765625" bestFit="1" customWidth="1"/>
    <col min="7" max="7" width="20.5" bestFit="1" customWidth="1"/>
    <col min="8" max="8" width="19.3984375" bestFit="1" customWidth="1"/>
    <col min="9" max="10" width="13.19921875" bestFit="1" customWidth="1"/>
    <col min="11" max="11" width="9.19921875" bestFit="1" customWidth="1"/>
    <col min="12" max="12" width="62.69921875" bestFit="1" customWidth="1"/>
    <col min="13" max="13" width="50.69921875" bestFit="1" customWidth="1"/>
    <col min="14" max="15" width="19.3984375" bestFit="1" customWidth="1"/>
    <col min="16" max="16" width="13.19921875" bestFit="1" customWidth="1"/>
    <col min="17" max="17" width="12" bestFit="1" customWidth="1"/>
    <col min="18" max="18" width="12.5" bestFit="1" customWidth="1"/>
    <col min="19" max="26" width="12.5" hidden="1" customWidth="1"/>
    <col min="27" max="27" width="192.5" bestFit="1" customWidth="1"/>
  </cols>
  <sheetData>
    <row r="1" spans="2:27" x14ac:dyDescent="0.4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2:27" x14ac:dyDescent="0.4">
      <c r="B2" s="10" t="s">
        <v>135</v>
      </c>
      <c r="C2" s="43" t="s">
        <v>874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2:27" x14ac:dyDescent="0.4">
      <c r="B3" s="10" t="s">
        <v>1</v>
      </c>
      <c r="C3" s="5" t="s">
        <v>198</v>
      </c>
      <c r="D3" s="5" t="s">
        <v>521</v>
      </c>
      <c r="E3" s="5" t="s">
        <v>178</v>
      </c>
      <c r="F3" s="5" t="s">
        <v>499</v>
      </c>
      <c r="G3" s="5" t="s">
        <v>492</v>
      </c>
      <c r="H3" s="5" t="s">
        <v>496</v>
      </c>
      <c r="I3" s="5" t="s">
        <v>249</v>
      </c>
      <c r="J3" s="5" t="s">
        <v>250</v>
      </c>
      <c r="K3" s="5" t="s">
        <v>262</v>
      </c>
      <c r="L3" s="5" t="s">
        <v>264</v>
      </c>
      <c r="M3" s="5" t="s">
        <v>493</v>
      </c>
      <c r="N3" s="5" t="s">
        <v>327</v>
      </c>
      <c r="O3" s="5" t="s">
        <v>520</v>
      </c>
      <c r="R3" s="13"/>
      <c r="S3" s="13"/>
      <c r="T3" s="13"/>
      <c r="U3" s="13"/>
      <c r="V3" s="13"/>
      <c r="W3" s="13"/>
      <c r="X3" s="13"/>
      <c r="Y3" s="13"/>
      <c r="Z3" s="13"/>
      <c r="AA3" s="14" t="str">
        <f>_xlfn.CONCAT("TRUNCATE ",C2,";")</f>
        <v>TRUNCATE tb_mnu;</v>
      </c>
    </row>
    <row r="4" spans="2:27" x14ac:dyDescent="0.4">
      <c r="B4" s="10" t="s">
        <v>3</v>
      </c>
      <c r="C4" s="5" t="s">
        <v>199</v>
      </c>
      <c r="D4" s="5" t="s">
        <v>177</v>
      </c>
      <c r="E4" s="5" t="s">
        <v>179</v>
      </c>
      <c r="F4" s="5" t="s">
        <v>500</v>
      </c>
      <c r="G4" s="5" t="s">
        <v>491</v>
      </c>
      <c r="H4" s="5" t="s">
        <v>497</v>
      </c>
      <c r="I4" s="5" t="s">
        <v>181</v>
      </c>
      <c r="J4" s="5" t="s">
        <v>289</v>
      </c>
      <c r="K4" s="5" t="s">
        <v>183</v>
      </c>
      <c r="L4" s="5" t="s">
        <v>185</v>
      </c>
      <c r="M4" s="5" t="s">
        <v>184</v>
      </c>
      <c r="N4" s="5" t="s">
        <v>489</v>
      </c>
      <c r="O4" s="5" t="s">
        <v>495</v>
      </c>
      <c r="R4" s="13"/>
      <c r="S4" s="13"/>
      <c r="T4" s="13"/>
      <c r="U4" s="13"/>
      <c r="V4" s="13"/>
      <c r="W4" s="13"/>
      <c r="X4" s="13"/>
      <c r="Y4" s="13"/>
      <c r="Z4" s="13"/>
      <c r="AA4" t="str">
        <f>_xlfn.CONCAT("INSERT INTO ",C2, "(", _xlfn.TEXTJOIN(",",TRUE,C3:Z3),") VALUES")</f>
        <v>INSERT INTO tb_mnu(MNU_SEQ,URL,MNU_NM,COMPNT_PATH,COMPNT_NM,UPPER_MNU_SEQ,OPEN_YN,AUTH_YN,MNU_LV,MNU_ORDER,MNU_INFO,FST_REG_SEQ,LST_UPD_SEQ) VALUES</v>
      </c>
    </row>
    <row r="5" spans="2:27" x14ac:dyDescent="0.4">
      <c r="B5" s="1">
        <v>1</v>
      </c>
      <c r="C5" s="1">
        <v>1</v>
      </c>
      <c r="D5" s="8" t="s">
        <v>522</v>
      </c>
      <c r="E5" s="1" t="s">
        <v>519</v>
      </c>
      <c r="F5" s="8" t="s">
        <v>472</v>
      </c>
      <c r="G5" s="8" t="s">
        <v>472</v>
      </c>
      <c r="H5" s="8">
        <v>0</v>
      </c>
      <c r="I5" s="1" t="s">
        <v>182</v>
      </c>
      <c r="J5" s="1" t="s">
        <v>182</v>
      </c>
      <c r="K5" s="1">
        <v>1</v>
      </c>
      <c r="L5" s="1">
        <v>1</v>
      </c>
      <c r="M5" s="1" t="s">
        <v>517</v>
      </c>
      <c r="N5" s="1">
        <v>1</v>
      </c>
      <c r="O5" s="1">
        <v>1</v>
      </c>
      <c r="AA5" t="str">
        <f t="shared" ref="AA5:AA18" si="0">_xlfn.CONCAT(IF(B5=1,"",","),"(",_xlfn.TEXTJOIN(",",TRUE,C5:Z5),")")</f>
        <v>(1,"/market","마켓","","",0,"Y","Y",1,1,"상품 관련 대메뉴",1,1)</v>
      </c>
    </row>
    <row r="6" spans="2:27" x14ac:dyDescent="0.4">
      <c r="B6" s="1">
        <v>2</v>
      </c>
      <c r="C6" s="1">
        <v>2</v>
      </c>
      <c r="D6" s="8" t="s">
        <v>822</v>
      </c>
      <c r="E6" s="1" t="s">
        <v>485</v>
      </c>
      <c r="F6" s="8" t="s">
        <v>204</v>
      </c>
      <c r="G6" s="8" t="s">
        <v>823</v>
      </c>
      <c r="H6" s="8">
        <v>1</v>
      </c>
      <c r="I6" s="1" t="s">
        <v>182</v>
      </c>
      <c r="J6" s="1" t="s">
        <v>182</v>
      </c>
      <c r="K6" s="1">
        <v>2</v>
      </c>
      <c r="L6" s="1">
        <v>1</v>
      </c>
      <c r="M6" s="1" t="s">
        <v>518</v>
      </c>
      <c r="N6" s="1">
        <v>1</v>
      </c>
      <c r="O6" s="1">
        <v>1</v>
      </c>
      <c r="AA6" t="str">
        <f t="shared" si="0"/>
        <v>,(2,"/market/itemList","상품","market","itemList",1,"Y","Y",2,1,"상품 정보를 조회할 수 있는 메뉴입니다.",1,1)</v>
      </c>
    </row>
    <row r="7" spans="2:27" x14ac:dyDescent="0.4">
      <c r="B7" s="1">
        <v>3</v>
      </c>
      <c r="C7" s="1">
        <v>3</v>
      </c>
      <c r="D7" s="8" t="s">
        <v>824</v>
      </c>
      <c r="E7" s="1" t="s">
        <v>332</v>
      </c>
      <c r="F7" s="8" t="s">
        <v>204</v>
      </c>
      <c r="G7" s="8" t="s">
        <v>826</v>
      </c>
      <c r="H7" s="8">
        <v>1</v>
      </c>
      <c r="I7" s="1" t="s">
        <v>182</v>
      </c>
      <c r="J7" s="1" t="s">
        <v>182</v>
      </c>
      <c r="K7" s="1">
        <v>2</v>
      </c>
      <c r="L7" s="1">
        <v>2</v>
      </c>
      <c r="M7" s="1" t="s">
        <v>825</v>
      </c>
      <c r="N7" s="1">
        <v>1</v>
      </c>
      <c r="O7" s="1">
        <v>1</v>
      </c>
      <c r="AA7" t="str">
        <f t="shared" si="0"/>
        <v>,(3,"/market/basket","장바구니","market","basket",1,"Y","Y",2,2,"장바구니 정보를 조회할 수 있는 메뉴입니다.",1,1)</v>
      </c>
    </row>
    <row r="8" spans="2:27" x14ac:dyDescent="0.4">
      <c r="B8" s="1">
        <v>4</v>
      </c>
      <c r="C8" s="1">
        <v>4</v>
      </c>
      <c r="D8" s="8" t="s">
        <v>848</v>
      </c>
      <c r="E8" s="1" t="s">
        <v>850</v>
      </c>
      <c r="F8" s="8" t="s">
        <v>204</v>
      </c>
      <c r="G8" s="8" t="s">
        <v>849</v>
      </c>
      <c r="H8" s="8">
        <v>1</v>
      </c>
      <c r="I8" s="1" t="s">
        <v>182</v>
      </c>
      <c r="J8" s="1" t="s">
        <v>182</v>
      </c>
      <c r="K8" s="1">
        <v>2</v>
      </c>
      <c r="L8" s="1">
        <v>3</v>
      </c>
      <c r="M8" s="1" t="s">
        <v>851</v>
      </c>
      <c r="N8" s="1">
        <v>1</v>
      </c>
      <c r="O8" s="1">
        <v>1</v>
      </c>
      <c r="AA8" t="str">
        <f t="shared" si="0"/>
        <v>,(4,"/market/order","주문내역","market","order",1,"Y","Y",2,3,"주문내역 정보를 조회할 수 있는 메뉴입니다.",1,1)</v>
      </c>
    </row>
    <row r="9" spans="2:27" x14ac:dyDescent="0.4">
      <c r="B9" s="1">
        <v>5</v>
      </c>
      <c r="C9" s="1">
        <v>5</v>
      </c>
      <c r="D9" s="8" t="s">
        <v>854</v>
      </c>
      <c r="E9" s="1" t="s">
        <v>855</v>
      </c>
      <c r="F9" s="8" t="s">
        <v>204</v>
      </c>
      <c r="G9" s="8" t="s">
        <v>856</v>
      </c>
      <c r="H9" s="8">
        <v>1</v>
      </c>
      <c r="I9" s="1" t="s">
        <v>182</v>
      </c>
      <c r="J9" s="1" t="s">
        <v>182</v>
      </c>
      <c r="K9" s="1">
        <v>2</v>
      </c>
      <c r="L9" s="1">
        <v>4</v>
      </c>
      <c r="M9" s="1" t="s">
        <v>857</v>
      </c>
      <c r="N9" s="1">
        <v>1</v>
      </c>
      <c r="O9" s="1">
        <v>1</v>
      </c>
      <c r="AA9" t="str">
        <f t="shared" si="0"/>
        <v>,(5,"/market/itemNew","신규상품주문","market","itemNew",1,"Y","Y",2,4,"신규상품주문 정보를 조회할 수 있는 메뉴입니다.",1,1)</v>
      </c>
    </row>
    <row r="10" spans="2:27" x14ac:dyDescent="0.4">
      <c r="B10" s="1">
        <v>6</v>
      </c>
      <c r="C10" s="1">
        <v>6</v>
      </c>
      <c r="D10" s="8" t="s">
        <v>959</v>
      </c>
      <c r="E10" s="1" t="s">
        <v>960</v>
      </c>
      <c r="F10" s="8" t="s">
        <v>204</v>
      </c>
      <c r="G10" s="8" t="s">
        <v>961</v>
      </c>
      <c r="H10" s="8">
        <v>0</v>
      </c>
      <c r="I10" s="1" t="s">
        <v>159</v>
      </c>
      <c r="J10" s="1" t="s">
        <v>182</v>
      </c>
      <c r="K10" s="1">
        <v>2</v>
      </c>
      <c r="L10" s="1">
        <v>5</v>
      </c>
      <c r="M10" s="1" t="s">
        <v>962</v>
      </c>
      <c r="N10" s="1">
        <v>1</v>
      </c>
      <c r="O10" s="1">
        <v>1</v>
      </c>
      <c r="AA10" t="str">
        <f t="shared" ref="AA10:AA11" si="1">_xlfn.CONCAT(IF(B10=1,"",","),"(",_xlfn.TEXTJOIN(",",TRUE,C10:Z10),")")</f>
        <v>,(6,"/market/itemDetail","상품상세","market","itemDetail",0,"N","Y",2,5,"상품상세 정보를 조회할 수 있는 메뉴입니다.",1,1)</v>
      </c>
    </row>
    <row r="11" spans="2:27" x14ac:dyDescent="0.4">
      <c r="B11" s="1">
        <v>7</v>
      </c>
      <c r="C11" s="1">
        <v>7</v>
      </c>
      <c r="D11" s="8" t="s">
        <v>965</v>
      </c>
      <c r="E11" s="1" t="s">
        <v>201</v>
      </c>
      <c r="F11" s="8" t="s">
        <v>472</v>
      </c>
      <c r="G11" s="8" t="s">
        <v>472</v>
      </c>
      <c r="H11" s="8">
        <v>0</v>
      </c>
      <c r="I11" s="1" t="s">
        <v>182</v>
      </c>
      <c r="J11" s="1" t="s">
        <v>182</v>
      </c>
      <c r="K11" s="1">
        <v>1</v>
      </c>
      <c r="L11" s="1">
        <v>2</v>
      </c>
      <c r="M11" s="1" t="s">
        <v>202</v>
      </c>
      <c r="N11" s="1">
        <v>1</v>
      </c>
      <c r="O11" s="1">
        <v>1</v>
      </c>
      <c r="AA11" t="str">
        <f t="shared" si="1"/>
        <v>,(7,"/info","정보","","",0,"Y","Y",1,2,"정보 관련 대메뉴",1,1)</v>
      </c>
    </row>
    <row r="12" spans="2:27" x14ac:dyDescent="0.4">
      <c r="B12" s="1">
        <v>8</v>
      </c>
      <c r="C12" s="1">
        <v>8</v>
      </c>
      <c r="D12" s="8" t="s">
        <v>964</v>
      </c>
      <c r="E12" s="1" t="s">
        <v>963</v>
      </c>
      <c r="F12" s="8" t="s">
        <v>200</v>
      </c>
      <c r="G12" s="8" t="s">
        <v>966</v>
      </c>
      <c r="H12" s="8">
        <v>7</v>
      </c>
      <c r="I12" s="1" t="s">
        <v>182</v>
      </c>
      <c r="J12" s="1" t="s">
        <v>182</v>
      </c>
      <c r="K12" s="1">
        <v>2</v>
      </c>
      <c r="L12" s="1">
        <v>1</v>
      </c>
      <c r="M12" s="1" t="s">
        <v>967</v>
      </c>
      <c r="N12" s="1">
        <v>1</v>
      </c>
      <c r="O12" s="1">
        <v>1</v>
      </c>
      <c r="AA12" t="str">
        <f t="shared" ref="AA12" si="2">_xlfn.CONCAT(IF(B12=1,"",","),"(",_xlfn.TEXTJOIN(",",TRUE,C12:Z12),")")</f>
        <v>,(8,"/info/pwchng","비밀번호변경","info","pwchng",7,"Y","Y",2,1,"비밀번호를 변경할 수 있는 메뉴입니다.",1,1)</v>
      </c>
    </row>
    <row r="13" spans="2:27" x14ac:dyDescent="0.4">
      <c r="B13" s="1">
        <v>9</v>
      </c>
      <c r="C13" s="1">
        <v>9</v>
      </c>
      <c r="D13" s="8" t="s">
        <v>523</v>
      </c>
      <c r="E13" s="1" t="s">
        <v>209</v>
      </c>
      <c r="F13" s="8" t="s">
        <v>472</v>
      </c>
      <c r="G13" s="8" t="s">
        <v>472</v>
      </c>
      <c r="H13" s="8">
        <v>0</v>
      </c>
      <c r="I13" s="1" t="s">
        <v>182</v>
      </c>
      <c r="J13" s="1" t="s">
        <v>182</v>
      </c>
      <c r="K13" s="1">
        <v>1</v>
      </c>
      <c r="L13" s="1">
        <v>3</v>
      </c>
      <c r="M13" s="1" t="s">
        <v>212</v>
      </c>
      <c r="N13" s="1">
        <v>1</v>
      </c>
      <c r="O13" s="1">
        <v>1</v>
      </c>
      <c r="AA13" t="str">
        <f t="shared" si="0"/>
        <v>,(9,"/admin","관리자","","",0,"Y","Y",1,3,"관리자 관련 대메뉴",1,1)</v>
      </c>
    </row>
    <row r="14" spans="2:27" x14ac:dyDescent="0.4">
      <c r="B14" s="1">
        <v>10</v>
      </c>
      <c r="C14" s="1">
        <v>10</v>
      </c>
      <c r="D14" s="8" t="s">
        <v>954</v>
      </c>
      <c r="E14" s="1" t="s">
        <v>213</v>
      </c>
      <c r="F14" s="8" t="s">
        <v>161</v>
      </c>
      <c r="G14" s="8" t="s">
        <v>955</v>
      </c>
      <c r="H14" s="8">
        <v>9</v>
      </c>
      <c r="I14" s="1" t="s">
        <v>182</v>
      </c>
      <c r="J14" s="1" t="s">
        <v>182</v>
      </c>
      <c r="K14" s="1">
        <v>2</v>
      </c>
      <c r="L14" s="1">
        <v>1</v>
      </c>
      <c r="M14" s="1" t="s">
        <v>956</v>
      </c>
      <c r="N14" s="1">
        <v>1</v>
      </c>
      <c r="O14" s="1">
        <v>1</v>
      </c>
      <c r="AA14" t="str">
        <f t="shared" ref="AA14:AA17" si="3">_xlfn.CONCAT(IF(B14=1,"",","),"(",_xlfn.TEXTJOIN(",",TRUE,C14:Z14),")")</f>
        <v>,(10,"/admin/adminHome","관리자홈","admin","adminHome",9,"Y","Y",2,1,"관리자 메인 메뉴입니다.",1,1)</v>
      </c>
    </row>
    <row r="15" spans="2:27" x14ac:dyDescent="0.4">
      <c r="B15" s="1">
        <v>11</v>
      </c>
      <c r="C15" s="1">
        <v>11</v>
      </c>
      <c r="D15" s="8" t="s">
        <v>885</v>
      </c>
      <c r="E15" s="1" t="s">
        <v>883</v>
      </c>
      <c r="F15" s="8" t="s">
        <v>161</v>
      </c>
      <c r="G15" s="8" t="s">
        <v>884</v>
      </c>
      <c r="H15" s="8">
        <v>9</v>
      </c>
      <c r="I15" s="1" t="s">
        <v>182</v>
      </c>
      <c r="J15" s="1" t="s">
        <v>182</v>
      </c>
      <c r="K15" s="1">
        <v>2</v>
      </c>
      <c r="L15" s="1">
        <v>2</v>
      </c>
      <c r="M15" s="1" t="s">
        <v>975</v>
      </c>
      <c r="N15" s="1">
        <v>1</v>
      </c>
      <c r="O15" s="1">
        <v>1</v>
      </c>
      <c r="AA15" t="str">
        <f t="shared" si="3"/>
        <v>,(11,"/admin/mngOrder","주문관리","admin","mngOrder",9,"Y","Y",2,2,"관리자가 주문 관리 업무를 수행할 수 있는 메뉴입니다.",1,1)</v>
      </c>
    </row>
    <row r="16" spans="2:27" x14ac:dyDescent="0.4">
      <c r="B16" s="1">
        <v>12</v>
      </c>
      <c r="C16" s="1">
        <v>12</v>
      </c>
      <c r="D16" s="8" t="s">
        <v>972</v>
      </c>
      <c r="E16" s="1" t="s">
        <v>311</v>
      </c>
      <c r="F16" s="8" t="s">
        <v>161</v>
      </c>
      <c r="G16" s="8" t="s">
        <v>973</v>
      </c>
      <c r="H16" s="8">
        <v>9</v>
      </c>
      <c r="I16" s="1" t="s">
        <v>182</v>
      </c>
      <c r="J16" s="1" t="s">
        <v>182</v>
      </c>
      <c r="K16" s="1">
        <v>2</v>
      </c>
      <c r="L16" s="1">
        <v>3</v>
      </c>
      <c r="M16" s="1" t="s">
        <v>974</v>
      </c>
      <c r="N16" s="1">
        <v>1</v>
      </c>
      <c r="O16" s="1">
        <v>1</v>
      </c>
      <c r="AA16" t="str">
        <f t="shared" si="3"/>
        <v>,(12,"/admin/mngUser","사용자관리","admin","mngUser",9,"Y","Y",2,3,"관리자가 사용자 관리 업무를 수행할 수 있는 메뉴입니다.",1,1)</v>
      </c>
    </row>
    <row r="17" spans="2:27" x14ac:dyDescent="0.4">
      <c r="B17" s="1">
        <v>13</v>
      </c>
      <c r="C17" s="1">
        <v>13</v>
      </c>
      <c r="D17" s="8" t="s">
        <v>985</v>
      </c>
      <c r="E17" s="1" t="s">
        <v>986</v>
      </c>
      <c r="F17" s="8" t="s">
        <v>161</v>
      </c>
      <c r="G17" s="8" t="s">
        <v>987</v>
      </c>
      <c r="H17" s="8">
        <v>9</v>
      </c>
      <c r="I17" s="1" t="s">
        <v>182</v>
      </c>
      <c r="J17" s="1" t="s">
        <v>182</v>
      </c>
      <c r="K17" s="1">
        <v>2</v>
      </c>
      <c r="L17" s="1">
        <v>4</v>
      </c>
      <c r="M17" s="1" t="s">
        <v>988</v>
      </c>
      <c r="N17" s="1">
        <v>1</v>
      </c>
      <c r="O17" s="1">
        <v>1</v>
      </c>
      <c r="AA17" t="str">
        <f t="shared" si="3"/>
        <v>,(13,"/admin/loginLog","로그인로그","admin","loginLog",9,"Y","Y",2,4,"관리자가 로그인 로그를 조회할 수 있는 메뉴입니다.",1,1)</v>
      </c>
    </row>
    <row r="18" spans="2:27" x14ac:dyDescent="0.4">
      <c r="B18" s="1">
        <v>14</v>
      </c>
      <c r="C18" s="1">
        <v>14</v>
      </c>
      <c r="D18" s="8" t="s">
        <v>991</v>
      </c>
      <c r="E18" s="1" t="s">
        <v>989</v>
      </c>
      <c r="F18" s="8" t="s">
        <v>161</v>
      </c>
      <c r="G18" s="8" t="s">
        <v>992</v>
      </c>
      <c r="H18" s="8">
        <v>9</v>
      </c>
      <c r="I18" s="1" t="s">
        <v>182</v>
      </c>
      <c r="J18" s="1" t="s">
        <v>182</v>
      </c>
      <c r="K18" s="1">
        <v>2</v>
      </c>
      <c r="L18" s="1">
        <v>5</v>
      </c>
      <c r="M18" s="1" t="s">
        <v>990</v>
      </c>
      <c r="N18" s="1">
        <v>1</v>
      </c>
      <c r="O18" s="1">
        <v>1</v>
      </c>
      <c r="AA18" t="str">
        <f t="shared" si="0"/>
        <v>,(14,"/admin/reqLog","요청로그","admin","reqLog",9,"Y","Y",2,5,"관리자가 요청 로그를 조회할 수 있는 메뉴입니다.",1,1)</v>
      </c>
    </row>
    <row r="19" spans="2:27" x14ac:dyDescent="0.4">
      <c r="AA19" t="s">
        <v>143</v>
      </c>
    </row>
    <row r="20" spans="2:27" x14ac:dyDescent="0.4">
      <c r="B20" s="17" t="s">
        <v>135</v>
      </c>
      <c r="C20" s="43" t="s">
        <v>877</v>
      </c>
      <c r="D20" s="43"/>
      <c r="E20" s="43"/>
      <c r="F20" s="43"/>
      <c r="G20" s="43"/>
      <c r="H20" s="43"/>
    </row>
    <row r="21" spans="2:27" x14ac:dyDescent="0.4">
      <c r="B21" s="17" t="s">
        <v>1</v>
      </c>
      <c r="C21" s="17" t="s">
        <v>198</v>
      </c>
      <c r="D21" s="17" t="s">
        <v>216</v>
      </c>
      <c r="E21" s="17" t="s">
        <v>234</v>
      </c>
      <c r="F21" s="17" t="s">
        <v>236</v>
      </c>
      <c r="G21" s="17" t="s">
        <v>327</v>
      </c>
      <c r="H21" s="17" t="s">
        <v>520</v>
      </c>
      <c r="K21" s="13"/>
      <c r="L21" s="13"/>
      <c r="M21" s="13"/>
      <c r="N21" s="13"/>
      <c r="O21" s="13"/>
      <c r="R21" s="13"/>
      <c r="S21" s="13"/>
      <c r="T21" s="13"/>
      <c r="U21" s="13"/>
      <c r="V21" s="13"/>
      <c r="W21" s="13"/>
      <c r="X21" s="13"/>
      <c r="Y21" s="13"/>
      <c r="Z21" s="13"/>
      <c r="AA21" s="14" t="str">
        <f>_xlfn.CONCAT("TRUNCATE ",C20,";")</f>
        <v>TRUNCATE tb_auth;</v>
      </c>
    </row>
    <row r="22" spans="2:27" x14ac:dyDescent="0.4">
      <c r="B22" s="17" t="s">
        <v>3</v>
      </c>
      <c r="C22" s="17" t="s">
        <v>199</v>
      </c>
      <c r="D22" s="17" t="s">
        <v>218</v>
      </c>
      <c r="E22" s="17" t="s">
        <v>235</v>
      </c>
      <c r="F22" s="17" t="s">
        <v>237</v>
      </c>
      <c r="G22" s="17" t="s">
        <v>489</v>
      </c>
      <c r="H22" s="17" t="s">
        <v>495</v>
      </c>
      <c r="K22" s="13"/>
      <c r="L22" s="13"/>
      <c r="M22" s="13"/>
      <c r="N22" s="13"/>
      <c r="O22" s="13"/>
      <c r="R22" s="13"/>
      <c r="S22" s="13"/>
      <c r="T22" s="13"/>
      <c r="U22" s="13"/>
      <c r="V22" s="13"/>
      <c r="W22" s="13"/>
      <c r="X22" s="13"/>
      <c r="Y22" s="13"/>
      <c r="Z22" s="13"/>
      <c r="AA22" t="str">
        <f>_xlfn.CONCAT("INSERT INTO ",C20, "(", _xlfn.TEXTJOIN(",",TRUE,C21:Z21),")")</f>
        <v>INSERT INTO tb_auth(MNU_SEQ,ROLE_SEQ,AUTH_GRADE,AUTH_NM,FST_REG_SEQ,LST_UPD_SEQ)</v>
      </c>
    </row>
    <row r="23" spans="2:27" x14ac:dyDescent="0.4">
      <c r="B23" s="1">
        <v>1</v>
      </c>
      <c r="C23" s="1" t="s">
        <v>198</v>
      </c>
      <c r="D23" s="8">
        <v>3</v>
      </c>
      <c r="E23" s="1">
        <v>99</v>
      </c>
      <c r="F23" s="1" t="s">
        <v>209</v>
      </c>
      <c r="G23" s="1">
        <v>1</v>
      </c>
      <c r="H23" s="1">
        <v>1</v>
      </c>
      <c r="AA23" t="str">
        <f>_xlfn.CONCAT(IF(B23&lt;&gt;1,"UNION ALL ",""),"SELECT ",_xlfn.TEXTJOIN(",",TRUE,C23:Z23)," FROM ", $C$26)</f>
        <v>SELECT MNU_SEQ,3,99,"관리자",1,1 FROM tb_mnu</v>
      </c>
    </row>
    <row r="24" spans="2:27" x14ac:dyDescent="0.4">
      <c r="B24" s="1">
        <v>2</v>
      </c>
      <c r="C24" s="1" t="s">
        <v>198</v>
      </c>
      <c r="D24" s="8">
        <v>2</v>
      </c>
      <c r="E24" s="1">
        <v>98</v>
      </c>
      <c r="F24" s="1" t="s">
        <v>229</v>
      </c>
      <c r="G24" s="1">
        <v>1</v>
      </c>
      <c r="H24" s="1">
        <v>1</v>
      </c>
      <c r="AA24" t="str">
        <f>_xlfn.CONCAT(IF(B24&lt;&gt;1,"UNION ALL ",""),"SELECT ",_xlfn.TEXTJOIN(",",TRUE,C24:Z24)," FROM ", $C$26)</f>
        <v>UNION ALL SELECT MNU_SEQ,2,98,"게스트",1,1 FROM tb_mnu</v>
      </c>
    </row>
    <row r="25" spans="2:27" x14ac:dyDescent="0.4">
      <c r="B25" s="1">
        <v>3</v>
      </c>
      <c r="C25" s="1" t="s">
        <v>198</v>
      </c>
      <c r="D25" s="8">
        <v>1</v>
      </c>
      <c r="E25" s="1">
        <v>1</v>
      </c>
      <c r="F25" s="1" t="s">
        <v>228</v>
      </c>
      <c r="G25" s="1">
        <v>1</v>
      </c>
      <c r="H25" s="1">
        <v>1</v>
      </c>
      <c r="AA25" t="str">
        <f>_xlfn.CONCAT(IF(B25&lt;&gt;1,"UNION ALL ",""),"SELECT ",_xlfn.TEXTJOIN(",",TRUE,C25:Z25)," FROM ", $C$26)</f>
        <v>UNION ALL SELECT MNU_SEQ,1,1,"읽기",1,1 FROM tb_mnu</v>
      </c>
    </row>
    <row r="26" spans="2:27" x14ac:dyDescent="0.4">
      <c r="B26" s="17" t="s">
        <v>230</v>
      </c>
      <c r="C26" s="43" t="s">
        <v>874</v>
      </c>
      <c r="D26" s="43"/>
      <c r="E26" s="43"/>
      <c r="F26" s="43"/>
      <c r="G26" s="43"/>
      <c r="H26" s="43"/>
      <c r="AA26" t="s">
        <v>143</v>
      </c>
    </row>
    <row r="27" spans="2:27" x14ac:dyDescent="0.4">
      <c r="B27" s="17" t="s">
        <v>308</v>
      </c>
      <c r="C27" s="41" t="s">
        <v>309</v>
      </c>
      <c r="D27" s="41"/>
      <c r="E27" s="41"/>
      <c r="F27" s="41"/>
      <c r="G27" s="41"/>
      <c r="H27" s="41"/>
      <c r="AA27" t="str">
        <f>_xlfn.TEXTJOIN(",",TRUE,"UPDATE tb_auth T1 SET T1.AUTH_GRADE = 0, T1.AUTH_NM = '권한없음' WHERE T1.ROLE_SEQ = 1 AND EXISTS (SELECT 1 FROM tb_mnu WHERE MNU_SEQ = T1.MNU_SEQ AND URL LIKE '/admin%')")</f>
        <v>UPDATE tb_auth T1 SET T1.AUTH_GRADE = 0, T1.AUTH_NM = '권한없음' WHERE T1.ROLE_SEQ = 1 AND EXISTS (SELECT 1 FROM tb_mnu WHERE MNU_SEQ = T1.MNU_SEQ AND URL LIKE '/admin%')</v>
      </c>
    </row>
    <row r="28" spans="2:27" x14ac:dyDescent="0.4">
      <c r="AA28" t="s">
        <v>143</v>
      </c>
    </row>
    <row r="30" spans="2:27" x14ac:dyDescent="0.4">
      <c r="AA30" s="18"/>
    </row>
  </sheetData>
  <mergeCells count="4">
    <mergeCell ref="C20:H20"/>
    <mergeCell ref="C26:H26"/>
    <mergeCell ref="C27:H27"/>
    <mergeCell ref="C2:N2"/>
  </mergeCells>
  <phoneticPr fontId="1" type="noConversion"/>
  <conditionalFormatting sqref="B5:O18">
    <cfRule type="expression" dxfId="8" priority="6">
      <formula>$I5 = 1</formula>
    </cfRule>
  </conditionalFormatting>
  <conditionalFormatting sqref="K5:L11">
    <cfRule type="expression" dxfId="7" priority="9">
      <formula>$I42 = 1</formula>
    </cfRule>
  </conditionalFormatting>
  <conditionalFormatting sqref="K12:L12">
    <cfRule type="expression" dxfId="6" priority="5">
      <formula>$I48 = 1</formula>
    </cfRule>
  </conditionalFormatting>
  <conditionalFormatting sqref="K13:L13">
    <cfRule type="expression" dxfId="5" priority="8">
      <formula>$I43 = 1</formula>
    </cfRule>
  </conditionalFormatting>
  <conditionalFormatting sqref="K14:L14 L16 L18">
    <cfRule type="expression" dxfId="4" priority="4">
      <formula>$I43 = 1</formula>
    </cfRule>
  </conditionalFormatting>
  <conditionalFormatting sqref="K18:L18">
    <cfRule type="expression" dxfId="3" priority="3">
      <formula>$I44 = 1</formula>
    </cfRule>
  </conditionalFormatting>
  <conditionalFormatting sqref="K15:L15 L17">
    <cfRule type="expression" dxfId="2" priority="10">
      <formula>$I43 = 1</formula>
    </cfRule>
  </conditionalFormatting>
  <conditionalFormatting sqref="K16:L16">
    <cfRule type="expression" dxfId="1" priority="2">
      <formula>$I43 = 1</formula>
    </cfRule>
  </conditionalFormatting>
  <conditionalFormatting sqref="K17:L17">
    <cfRule type="expression" dxfId="0" priority="1">
      <formula>$I43 = 1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9C8C-0933-46B2-8E0D-87FBB4FA36A4}">
  <dimension ref="B2:G11"/>
  <sheetViews>
    <sheetView workbookViewId="0">
      <selection activeCell="E16" sqref="E16"/>
    </sheetView>
  </sheetViews>
  <sheetFormatPr defaultRowHeight="17.399999999999999" x14ac:dyDescent="0.4"/>
  <cols>
    <col min="1" max="1" width="3.5" customWidth="1"/>
    <col min="2" max="2" width="9.59765625" bestFit="1" customWidth="1"/>
    <col min="3" max="3" width="8.3984375" bestFit="1" customWidth="1"/>
    <col min="4" max="4" width="10.3984375" bestFit="1" customWidth="1"/>
    <col min="5" max="5" width="33.19921875" bestFit="1" customWidth="1"/>
    <col min="6" max="6" width="16" bestFit="1" customWidth="1"/>
    <col min="7" max="7" width="7.3984375" bestFit="1" customWidth="1"/>
  </cols>
  <sheetData>
    <row r="2" spans="2:7" x14ac:dyDescent="0.4">
      <c r="B2" s="2" t="s">
        <v>17</v>
      </c>
      <c r="C2" s="2" t="s">
        <v>1</v>
      </c>
      <c r="D2" s="2" t="s">
        <v>3</v>
      </c>
      <c r="E2" s="2" t="s">
        <v>0</v>
      </c>
      <c r="F2" s="2" t="s">
        <v>19</v>
      </c>
      <c r="G2" s="2" t="s">
        <v>22</v>
      </c>
    </row>
    <row r="3" spans="2:7" x14ac:dyDescent="0.4">
      <c r="B3" s="1" t="s">
        <v>18</v>
      </c>
      <c r="C3" s="1" t="s">
        <v>2</v>
      </c>
      <c r="D3" s="1" t="s">
        <v>5</v>
      </c>
      <c r="E3" s="1" t="s">
        <v>4</v>
      </c>
      <c r="F3" s="4" t="s">
        <v>20</v>
      </c>
      <c r="G3" s="1"/>
    </row>
    <row r="4" spans="2:7" x14ac:dyDescent="0.4">
      <c r="B4" s="1" t="s">
        <v>18</v>
      </c>
      <c r="C4" s="1" t="s">
        <v>6</v>
      </c>
      <c r="D4" s="1" t="s">
        <v>7</v>
      </c>
      <c r="E4" s="1" t="s">
        <v>8</v>
      </c>
      <c r="F4" s="4" t="s">
        <v>21</v>
      </c>
      <c r="G4" s="1" t="s">
        <v>27</v>
      </c>
    </row>
    <row r="5" spans="2:7" x14ac:dyDescent="0.4">
      <c r="B5" s="1" t="s">
        <v>18</v>
      </c>
      <c r="C5" s="1" t="s">
        <v>15</v>
      </c>
      <c r="D5" s="1" t="s">
        <v>93</v>
      </c>
      <c r="E5" s="1" t="s">
        <v>16</v>
      </c>
      <c r="F5" s="4" t="s">
        <v>23</v>
      </c>
      <c r="G5" s="1"/>
    </row>
    <row r="6" spans="2:7" x14ac:dyDescent="0.4">
      <c r="B6" s="1" t="s">
        <v>26</v>
      </c>
      <c r="C6" s="1" t="s">
        <v>10</v>
      </c>
      <c r="D6" s="1" t="s">
        <v>94</v>
      </c>
      <c r="E6" s="1" t="s">
        <v>12</v>
      </c>
      <c r="F6" s="4" t="s">
        <v>24</v>
      </c>
      <c r="G6" s="1"/>
    </row>
    <row r="7" spans="2:7" x14ac:dyDescent="0.4">
      <c r="B7" s="1" t="s">
        <v>26</v>
      </c>
      <c r="C7" s="1" t="s">
        <v>9</v>
      </c>
      <c r="D7" s="1" t="s">
        <v>95</v>
      </c>
      <c r="E7" s="1" t="s">
        <v>11</v>
      </c>
      <c r="F7" s="4" t="s">
        <v>24</v>
      </c>
      <c r="G7" s="1"/>
    </row>
    <row r="8" spans="2:7" x14ac:dyDescent="0.4">
      <c r="B8" s="1" t="s">
        <v>26</v>
      </c>
      <c r="C8" s="1" t="s">
        <v>13</v>
      </c>
      <c r="D8" s="1" t="s">
        <v>96</v>
      </c>
      <c r="E8" s="1" t="s">
        <v>14</v>
      </c>
      <c r="F8" s="4" t="s">
        <v>24</v>
      </c>
      <c r="G8" s="1"/>
    </row>
    <row r="9" spans="2:7" x14ac:dyDescent="0.4">
      <c r="B9" s="1" t="s">
        <v>26</v>
      </c>
      <c r="C9" s="1" t="s">
        <v>70</v>
      </c>
      <c r="D9" s="1" t="s">
        <v>97</v>
      </c>
      <c r="E9" s="1" t="s">
        <v>71</v>
      </c>
      <c r="F9" s="4" t="s">
        <v>115</v>
      </c>
      <c r="G9" s="1"/>
    </row>
    <row r="10" spans="2:7" x14ac:dyDescent="0.4">
      <c r="B10" s="1" t="s">
        <v>26</v>
      </c>
      <c r="C10" s="1" t="s">
        <v>186</v>
      </c>
      <c r="D10" s="1" t="s">
        <v>187</v>
      </c>
      <c r="E10" s="1" t="s">
        <v>188</v>
      </c>
      <c r="F10" s="4" t="s">
        <v>189</v>
      </c>
      <c r="G10" s="1"/>
    </row>
    <row r="11" spans="2:7" x14ac:dyDescent="0.4">
      <c r="B11" s="1" t="s">
        <v>26</v>
      </c>
      <c r="C11" s="1" t="s">
        <v>238</v>
      </c>
      <c r="D11" s="1" t="s">
        <v>239</v>
      </c>
      <c r="E11" s="1" t="s">
        <v>240</v>
      </c>
      <c r="F11" s="1"/>
      <c r="G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개정이력</vt:lpstr>
      <vt:lpstr>테이블 정의_공통</vt:lpstr>
      <vt:lpstr>테이블 정의_비즈니스</vt:lpstr>
      <vt:lpstr>이행 데이터_공통</vt:lpstr>
      <vt:lpstr>이행 데이터_상품</vt:lpstr>
      <vt:lpstr>이행 데이터_주문</vt:lpstr>
      <vt:lpstr>이행 데이터_메뉴</vt:lpstr>
      <vt:lpstr>용어 사전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2023-01-12T01:27:32Z</dcterms:created>
  <dcterms:modified xsi:type="dcterms:W3CDTF">2025-12-29T23:33:24Z</dcterms:modified>
</cp:coreProperties>
</file>