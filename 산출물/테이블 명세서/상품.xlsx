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imSangMin\git\miniPX\산출물\테이블 명세서\"/>
    </mc:Choice>
  </mc:AlternateContent>
  <xr:revisionPtr revIDLastSave="0" documentId="13_ncr:1_{3952FC92-660F-479C-AF97-731A0BC3995A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분류" sheetId="5" r:id="rId1"/>
    <sheet name="상품_251030" sheetId="4" r:id="rId2"/>
    <sheet name="상품DB" sheetId="8" r:id="rId3"/>
    <sheet name="상품 분류코드" sheetId="6" r:id="rId4"/>
  </sheets>
  <definedNames>
    <definedName name="_xlnm._FilterDatabase" localSheetId="0" hidden="1">분류!$B$3:$E$31</definedName>
    <definedName name="_xlnm._FilterDatabase" localSheetId="1" hidden="1">상품_251030!$B$3:$J$178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8" l="1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5" i="8"/>
  <c r="M4" i="8"/>
  <c r="B22" i="6"/>
  <c r="B21" i="6"/>
  <c r="B23" i="6"/>
  <c r="G23" i="5"/>
  <c r="G22" i="5"/>
  <c r="G21" i="5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B35" i="6"/>
  <c r="B34" i="6"/>
  <c r="B33" i="6"/>
  <c r="R27" i="8" s="1"/>
  <c r="B31" i="6"/>
  <c r="B30" i="6"/>
  <c r="B29" i="6"/>
  <c r="B28" i="6"/>
  <c r="B27" i="6"/>
  <c r="B26" i="6"/>
  <c r="B25" i="6"/>
  <c r="B24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T12" i="8" s="1"/>
  <c r="M3" i="8"/>
  <c r="G31" i="5"/>
  <c r="G30" i="5"/>
  <c r="G29" i="5"/>
  <c r="G28" i="5"/>
  <c r="G27" i="5"/>
  <c r="G26" i="5"/>
  <c r="G25" i="5"/>
  <c r="G24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H171" i="4"/>
  <c r="I171" i="4"/>
  <c r="I177" i="4"/>
  <c r="H177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2" i="4"/>
  <c r="I173" i="4"/>
  <c r="I174" i="4"/>
  <c r="I175" i="4"/>
  <c r="I176" i="4"/>
  <c r="I4" i="4"/>
  <c r="H83" i="4"/>
  <c r="H149" i="4"/>
  <c r="H150" i="4"/>
  <c r="H106" i="4"/>
  <c r="H151" i="4"/>
  <c r="H152" i="4"/>
  <c r="H84" i="4"/>
  <c r="H153" i="4"/>
  <c r="H154" i="4"/>
  <c r="H85" i="4"/>
  <c r="H86" i="4"/>
  <c r="H87" i="4"/>
  <c r="H88" i="4"/>
  <c r="H89" i="4"/>
  <c r="H90" i="4"/>
  <c r="H91" i="4"/>
  <c r="H92" i="4"/>
  <c r="H93" i="4"/>
  <c r="H155" i="4"/>
  <c r="H57" i="4"/>
  <c r="H107" i="4"/>
  <c r="H103" i="4"/>
  <c r="H102" i="4"/>
  <c r="H108" i="4"/>
  <c r="H109" i="4"/>
  <c r="H110" i="4"/>
  <c r="H101" i="4"/>
  <c r="H94" i="4"/>
  <c r="H156" i="4"/>
  <c r="H55" i="4"/>
  <c r="H95" i="4"/>
  <c r="H96" i="4"/>
  <c r="H111" i="4"/>
  <c r="H104" i="4"/>
  <c r="H112" i="4"/>
  <c r="H157" i="4"/>
  <c r="H117" i="4"/>
  <c r="H113" i="4"/>
  <c r="H158" i="4"/>
  <c r="H97" i="4"/>
  <c r="H118" i="4"/>
  <c r="H159" i="4"/>
  <c r="H160" i="4"/>
  <c r="H56" i="4"/>
  <c r="H98" i="4"/>
  <c r="H99" i="4"/>
  <c r="H54" i="4"/>
  <c r="H100" i="4"/>
  <c r="H119" i="4"/>
  <c r="H120" i="4"/>
  <c r="H121" i="4"/>
  <c r="H58" i="4"/>
  <c r="H161" i="4"/>
  <c r="H162" i="4"/>
  <c r="H59" i="4"/>
  <c r="H61" i="4"/>
  <c r="H60" i="4"/>
  <c r="H62" i="4"/>
  <c r="H163" i="4"/>
  <c r="H122" i="4"/>
  <c r="H63" i="4"/>
  <c r="H64" i="4"/>
  <c r="H65" i="4"/>
  <c r="H66" i="4"/>
  <c r="H67" i="4"/>
  <c r="H68" i="4"/>
  <c r="H164" i="4"/>
  <c r="H123" i="4"/>
  <c r="H69" i="4"/>
  <c r="H70" i="4"/>
  <c r="H124" i="4"/>
  <c r="H125" i="4"/>
  <c r="H126" i="4"/>
  <c r="H71" i="4"/>
  <c r="H72" i="4"/>
  <c r="H73" i="4"/>
  <c r="H74" i="4"/>
  <c r="H75" i="4"/>
  <c r="H165" i="4"/>
  <c r="H76" i="4"/>
  <c r="H77" i="4"/>
  <c r="H78" i="4"/>
  <c r="H127" i="4"/>
  <c r="H166" i="4"/>
  <c r="H79" i="4"/>
  <c r="H128" i="4"/>
  <c r="H167" i="4"/>
  <c r="H168" i="4"/>
  <c r="H169" i="4"/>
  <c r="H80" i="4"/>
  <c r="H116" i="4"/>
  <c r="H81" i="4"/>
  <c r="H114" i="4"/>
  <c r="H115" i="4"/>
  <c r="H129" i="4"/>
  <c r="H130" i="4"/>
  <c r="H131" i="4"/>
  <c r="H132" i="4"/>
  <c r="H133" i="4"/>
  <c r="H134" i="4"/>
  <c r="H135" i="4"/>
  <c r="H170" i="4"/>
  <c r="H172" i="4"/>
  <c r="H136" i="4"/>
  <c r="H137" i="4"/>
  <c r="H138" i="4"/>
  <c r="H139" i="4"/>
  <c r="H140" i="4"/>
  <c r="H141" i="4"/>
  <c r="H173" i="4"/>
  <c r="H174" i="4"/>
  <c r="H142" i="4"/>
  <c r="H143" i="4"/>
  <c r="H144" i="4"/>
  <c r="H175" i="4"/>
  <c r="H145" i="4"/>
  <c r="H146" i="4"/>
  <c r="H82" i="4"/>
  <c r="H147" i="4"/>
  <c r="H148" i="4"/>
  <c r="H176" i="4"/>
  <c r="H53" i="4"/>
  <c r="H105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T162" i="8" l="1"/>
  <c r="T122" i="8"/>
  <c r="T50" i="8"/>
  <c r="T153" i="8"/>
  <c r="T113" i="8"/>
  <c r="T81" i="8"/>
  <c r="T57" i="8"/>
  <c r="T33" i="8"/>
  <c r="T171" i="8"/>
  <c r="T163" i="8"/>
  <c r="T155" i="8"/>
  <c r="T147" i="8"/>
  <c r="T139" i="8"/>
  <c r="T131" i="8"/>
  <c r="T123" i="8"/>
  <c r="T115" i="8"/>
  <c r="T107" i="8"/>
  <c r="T99" i="8"/>
  <c r="T91" i="8"/>
  <c r="T83" i="8"/>
  <c r="T75" i="8"/>
  <c r="T67" i="8"/>
  <c r="T59" i="8"/>
  <c r="T51" i="8"/>
  <c r="T43" i="8"/>
  <c r="T35" i="8"/>
  <c r="T27" i="8"/>
  <c r="T19" i="8"/>
  <c r="T11" i="8"/>
  <c r="T154" i="8"/>
  <c r="T130" i="8"/>
  <c r="T106" i="8"/>
  <c r="T74" i="8"/>
  <c r="T42" i="8"/>
  <c r="T10" i="8"/>
  <c r="T145" i="8"/>
  <c r="T97" i="8"/>
  <c r="T73" i="8"/>
  <c r="T17" i="8"/>
  <c r="R107" i="8"/>
  <c r="T176" i="8"/>
  <c r="T168" i="8"/>
  <c r="T160" i="8"/>
  <c r="T152" i="8"/>
  <c r="T144" i="8"/>
  <c r="T136" i="8"/>
  <c r="T128" i="8"/>
  <c r="T120" i="8"/>
  <c r="T112" i="8"/>
  <c r="T104" i="8"/>
  <c r="T96" i="8"/>
  <c r="T88" i="8"/>
  <c r="T80" i="8"/>
  <c r="T72" i="8"/>
  <c r="T64" i="8"/>
  <c r="T56" i="8"/>
  <c r="T48" i="8"/>
  <c r="T40" i="8"/>
  <c r="T32" i="8"/>
  <c r="T24" i="8"/>
  <c r="T16" i="8"/>
  <c r="T8" i="8"/>
  <c r="T138" i="8"/>
  <c r="T98" i="8"/>
  <c r="T66" i="8"/>
  <c r="T26" i="8"/>
  <c r="T169" i="8"/>
  <c r="T121" i="8"/>
  <c r="T49" i="8"/>
  <c r="T175" i="8"/>
  <c r="T167" i="8"/>
  <c r="T159" i="8"/>
  <c r="T151" i="8"/>
  <c r="T143" i="8"/>
  <c r="T135" i="8"/>
  <c r="T127" i="8"/>
  <c r="T119" i="8"/>
  <c r="T111" i="8"/>
  <c r="T103" i="8"/>
  <c r="T95" i="8"/>
  <c r="T87" i="8"/>
  <c r="T79" i="8"/>
  <c r="T71" i="8"/>
  <c r="T63" i="8"/>
  <c r="T55" i="8"/>
  <c r="T47" i="8"/>
  <c r="T39" i="8"/>
  <c r="T31" i="8"/>
  <c r="T23" i="8"/>
  <c r="T15" i="8"/>
  <c r="T7" i="8"/>
  <c r="T137" i="8"/>
  <c r="T25" i="8"/>
  <c r="T174" i="8"/>
  <c r="T166" i="8"/>
  <c r="T158" i="8"/>
  <c r="T150" i="8"/>
  <c r="T142" i="8"/>
  <c r="T134" i="8"/>
  <c r="T126" i="8"/>
  <c r="T118" i="8"/>
  <c r="T110" i="8"/>
  <c r="T102" i="8"/>
  <c r="T94" i="8"/>
  <c r="T86" i="8"/>
  <c r="T78" i="8"/>
  <c r="T70" i="8"/>
  <c r="T62" i="8"/>
  <c r="T54" i="8"/>
  <c r="T46" i="8"/>
  <c r="T38" i="8"/>
  <c r="T30" i="8"/>
  <c r="T22" i="8"/>
  <c r="T14" i="8"/>
  <c r="T6" i="8"/>
  <c r="T170" i="8"/>
  <c r="T82" i="8"/>
  <c r="T161" i="8"/>
  <c r="T105" i="8"/>
  <c r="T41" i="8"/>
  <c r="T173" i="8"/>
  <c r="T165" i="8"/>
  <c r="T157" i="8"/>
  <c r="T149" i="8"/>
  <c r="T141" i="8"/>
  <c r="T133" i="8"/>
  <c r="T125" i="8"/>
  <c r="T117" i="8"/>
  <c r="T109" i="8"/>
  <c r="T101" i="8"/>
  <c r="T93" i="8"/>
  <c r="T85" i="8"/>
  <c r="T77" i="8"/>
  <c r="T69" i="8"/>
  <c r="T61" i="8"/>
  <c r="T53" i="8"/>
  <c r="T45" i="8"/>
  <c r="T37" i="8"/>
  <c r="T29" i="8"/>
  <c r="T21" i="8"/>
  <c r="T13" i="8"/>
  <c r="T178" i="8"/>
  <c r="T146" i="8"/>
  <c r="T114" i="8"/>
  <c r="T90" i="8"/>
  <c r="T58" i="8"/>
  <c r="T34" i="8"/>
  <c r="T18" i="8"/>
  <c r="T177" i="8"/>
  <c r="T129" i="8"/>
  <c r="T89" i="8"/>
  <c r="T65" i="8"/>
  <c r="T9" i="8"/>
  <c r="T172" i="8"/>
  <c r="T164" i="8"/>
  <c r="T156" i="8"/>
  <c r="T148" i="8"/>
  <c r="T140" i="8"/>
  <c r="T132" i="8"/>
  <c r="T124" i="8"/>
  <c r="T116" i="8"/>
  <c r="T108" i="8"/>
  <c r="T100" i="8"/>
  <c r="T92" i="8"/>
  <c r="T84" i="8"/>
  <c r="T76" i="8"/>
  <c r="T68" i="8"/>
  <c r="T60" i="8"/>
  <c r="T52" i="8"/>
  <c r="T44" i="8"/>
  <c r="T36" i="8"/>
  <c r="T28" i="8"/>
  <c r="T20" i="8"/>
  <c r="R139" i="8"/>
  <c r="R131" i="8"/>
  <c r="R91" i="8"/>
  <c r="R9" i="8"/>
  <c r="R35" i="8"/>
  <c r="R19" i="8"/>
  <c r="R147" i="8"/>
  <c r="R123" i="8"/>
  <c r="R115" i="8"/>
  <c r="R99" i="8"/>
  <c r="R67" i="8"/>
  <c r="R174" i="8"/>
  <c r="R166" i="8"/>
  <c r="R158" i="8"/>
  <c r="R150" i="8"/>
  <c r="R142" i="8"/>
  <c r="R134" i="8"/>
  <c r="R126" i="8"/>
  <c r="R118" i="8"/>
  <c r="R110" i="8"/>
  <c r="R102" i="8"/>
  <c r="R94" i="8"/>
  <c r="R86" i="8"/>
  <c r="R78" i="8"/>
  <c r="R70" i="8"/>
  <c r="R62" i="8"/>
  <c r="R54" i="8"/>
  <c r="R46" i="8"/>
  <c r="R38" i="8"/>
  <c r="R30" i="8"/>
  <c r="R22" i="8"/>
  <c r="R14" i="8"/>
  <c r="R6" i="8"/>
  <c r="R152" i="8"/>
  <c r="R144" i="8"/>
  <c r="R120" i="8"/>
  <c r="R112" i="8"/>
  <c r="R104" i="8"/>
  <c r="R96" i="8"/>
  <c r="R88" i="8"/>
  <c r="R80" i="8"/>
  <c r="R72" i="8"/>
  <c r="R64" i="8"/>
  <c r="R56" i="8"/>
  <c r="R48" i="8"/>
  <c r="R40" i="8"/>
  <c r="R32" i="8"/>
  <c r="R24" i="8"/>
  <c r="R16" i="8"/>
  <c r="R8" i="8"/>
  <c r="T5" i="8"/>
  <c r="R163" i="8"/>
  <c r="R75" i="8"/>
  <c r="R168" i="8"/>
  <c r="R160" i="8"/>
  <c r="R128" i="8"/>
  <c r="R173" i="8"/>
  <c r="R165" i="8"/>
  <c r="R157" i="8"/>
  <c r="R149" i="8"/>
  <c r="R141" i="8"/>
  <c r="R133" i="8"/>
  <c r="R125" i="8"/>
  <c r="R117" i="8"/>
  <c r="R109" i="8"/>
  <c r="R101" i="8"/>
  <c r="R93" i="8"/>
  <c r="R85" i="8"/>
  <c r="R77" i="8"/>
  <c r="R69" i="8"/>
  <c r="R61" i="8"/>
  <c r="R53" i="8"/>
  <c r="R45" i="8"/>
  <c r="R37" i="8"/>
  <c r="R29" i="8"/>
  <c r="R21" i="8"/>
  <c r="R13" i="8"/>
  <c r="R5" i="8"/>
  <c r="R51" i="8"/>
  <c r="R11" i="8"/>
  <c r="R178" i="8"/>
  <c r="R170" i="8"/>
  <c r="R162" i="8"/>
  <c r="R154" i="8"/>
  <c r="R146" i="8"/>
  <c r="R138" i="8"/>
  <c r="R130" i="8"/>
  <c r="R122" i="8"/>
  <c r="R114" i="8"/>
  <c r="R106" i="8"/>
  <c r="R98" i="8"/>
  <c r="R90" i="8"/>
  <c r="R82" i="8"/>
  <c r="R74" i="8"/>
  <c r="R66" i="8"/>
  <c r="R58" i="8"/>
  <c r="R50" i="8"/>
  <c r="R42" i="8"/>
  <c r="R34" i="8"/>
  <c r="R26" i="8"/>
  <c r="R18" i="8"/>
  <c r="R10" i="8"/>
  <c r="R155" i="8"/>
  <c r="R59" i="8"/>
  <c r="R43" i="8"/>
  <c r="R176" i="8"/>
  <c r="R136" i="8"/>
  <c r="R175" i="8"/>
  <c r="R167" i="8"/>
  <c r="R159" i="8"/>
  <c r="R151" i="8"/>
  <c r="R143" i="8"/>
  <c r="R135" i="8"/>
  <c r="R127" i="8"/>
  <c r="R119" i="8"/>
  <c r="R111" i="8"/>
  <c r="R103" i="8"/>
  <c r="R95" i="8"/>
  <c r="R87" i="8"/>
  <c r="R79" i="8"/>
  <c r="R71" i="8"/>
  <c r="R63" i="8"/>
  <c r="R55" i="8"/>
  <c r="R47" i="8"/>
  <c r="R39" i="8"/>
  <c r="R31" i="8"/>
  <c r="R23" i="8"/>
  <c r="R15" i="8"/>
  <c r="R7" i="8"/>
  <c r="R171" i="8"/>
  <c r="R83" i="8"/>
  <c r="R172" i="8"/>
  <c r="R164" i="8"/>
  <c r="R156" i="8"/>
  <c r="R148" i="8"/>
  <c r="R140" i="8"/>
  <c r="R132" i="8"/>
  <c r="R124" i="8"/>
  <c r="R116" i="8"/>
  <c r="R108" i="8"/>
  <c r="R100" i="8"/>
  <c r="R92" i="8"/>
  <c r="R84" i="8"/>
  <c r="R76" i="8"/>
  <c r="R68" i="8"/>
  <c r="R60" i="8"/>
  <c r="R52" i="8"/>
  <c r="R44" i="8"/>
  <c r="R36" i="8"/>
  <c r="R28" i="8"/>
  <c r="R20" i="8"/>
  <c r="R12" i="8"/>
  <c r="R177" i="8"/>
  <c r="R169" i="8"/>
  <c r="R161" i="8"/>
  <c r="R153" i="8"/>
  <c r="R145" i="8"/>
  <c r="R137" i="8"/>
  <c r="R129" i="8"/>
  <c r="R121" i="8"/>
  <c r="R113" i="8"/>
  <c r="R105" i="8"/>
  <c r="R97" i="8"/>
  <c r="R89" i="8"/>
  <c r="R81" i="8"/>
  <c r="R73" i="8"/>
  <c r="R65" i="8"/>
  <c r="R57" i="8"/>
  <c r="R49" i="8"/>
  <c r="R41" i="8"/>
  <c r="R33" i="8"/>
  <c r="R25" i="8"/>
  <c r="R17" i="8"/>
  <c r="K139" i="4"/>
  <c r="K48" i="4"/>
  <c r="K19" i="4"/>
  <c r="K52" i="4"/>
  <c r="K51" i="4"/>
  <c r="K7" i="4"/>
  <c r="K16" i="4"/>
  <c r="K50" i="4"/>
  <c r="K21" i="4"/>
  <c r="K32" i="4"/>
  <c r="K57" i="4"/>
  <c r="K44" i="4"/>
  <c r="K55" i="4"/>
  <c r="K80" i="4"/>
  <c r="K95" i="4"/>
  <c r="K89" i="4"/>
  <c r="K53" i="4"/>
  <c r="K63" i="4"/>
  <c r="K158" i="4"/>
  <c r="K94" i="4"/>
  <c r="K147" i="4"/>
  <c r="K101" i="4"/>
  <c r="K93" i="4"/>
  <c r="K88" i="4"/>
  <c r="K54" i="4"/>
  <c r="K177" i="4"/>
  <c r="K38" i="4"/>
  <c r="K176" i="4"/>
  <c r="K102" i="4"/>
  <c r="K107" i="4"/>
  <c r="K77" i="4"/>
  <c r="K71" i="4"/>
  <c r="K75" i="4"/>
  <c r="K59" i="4"/>
  <c r="K100" i="4"/>
  <c r="K92" i="4"/>
  <c r="K87" i="4"/>
  <c r="K70" i="4"/>
  <c r="K43" i="4"/>
  <c r="K115" i="4"/>
  <c r="K46" i="4"/>
  <c r="K159" i="4"/>
  <c r="K128" i="4"/>
  <c r="K83" i="4"/>
  <c r="K73" i="4"/>
  <c r="K74" i="4"/>
  <c r="K58" i="4"/>
  <c r="K37" i="4"/>
  <c r="K167" i="4"/>
  <c r="K114" i="4"/>
  <c r="K24" i="4"/>
  <c r="K162" i="4"/>
  <c r="K118" i="4"/>
  <c r="K99" i="4"/>
  <c r="K86" i="4"/>
  <c r="K67" i="4"/>
  <c r="K108" i="4"/>
  <c r="K175" i="4"/>
  <c r="K145" i="4"/>
  <c r="K66" i="4"/>
  <c r="K124" i="4"/>
  <c r="K119" i="4"/>
  <c r="K9" i="4"/>
  <c r="K27" i="4"/>
  <c r="K41" i="4"/>
  <c r="K129" i="4"/>
  <c r="K174" i="4"/>
  <c r="K134" i="4"/>
  <c r="K117" i="4"/>
  <c r="K98" i="4"/>
  <c r="K91" i="4"/>
  <c r="K85" i="4"/>
  <c r="K62" i="4"/>
  <c r="K106" i="4"/>
  <c r="K8" i="4"/>
  <c r="K31" i="4"/>
  <c r="K138" i="4"/>
  <c r="K166" i="4"/>
  <c r="K113" i="4"/>
  <c r="K123" i="4"/>
  <c r="K6" i="4"/>
  <c r="K79" i="4"/>
  <c r="K127" i="4"/>
  <c r="K104" i="4"/>
  <c r="K97" i="4"/>
  <c r="K82" i="4"/>
  <c r="K76" i="4"/>
  <c r="K56" i="4"/>
  <c r="K105" i="4"/>
  <c r="K72" i="4"/>
  <c r="K65" i="4"/>
  <c r="K11" i="4"/>
  <c r="K125" i="4"/>
  <c r="K12" i="4"/>
  <c r="K103" i="4"/>
  <c r="K96" i="4"/>
  <c r="K90" i="4"/>
  <c r="K84" i="4"/>
  <c r="K150" i="4"/>
  <c r="K109" i="4"/>
  <c r="K47" i="4"/>
  <c r="K25" i="4"/>
  <c r="K111" i="4"/>
  <c r="K126" i="4"/>
  <c r="K149" i="4"/>
  <c r="K136" i="4"/>
  <c r="K116" i="4"/>
  <c r="K60" i="4"/>
  <c r="K28" i="4"/>
  <c r="K4" i="4"/>
  <c r="K135" i="4"/>
  <c r="K160" i="4"/>
  <c r="K122" i="4"/>
  <c r="K154" i="4"/>
  <c r="K146" i="4"/>
  <c r="K140" i="4"/>
  <c r="K78" i="4"/>
  <c r="K33" i="4"/>
  <c r="K164" i="4"/>
  <c r="K157" i="4"/>
  <c r="K151" i="4"/>
  <c r="K144" i="4"/>
  <c r="K137" i="4"/>
  <c r="K132" i="4"/>
  <c r="K81" i="4"/>
  <c r="K49" i="4"/>
  <c r="K14" i="4"/>
  <c r="K156" i="4"/>
  <c r="K131" i="4"/>
  <c r="K39" i="4"/>
  <c r="K148" i="4"/>
  <c r="K142" i="4"/>
  <c r="K121" i="4"/>
  <c r="K69" i="4"/>
  <c r="K15" i="4"/>
  <c r="K29" i="4"/>
  <c r="K169" i="4"/>
  <c r="K155" i="4"/>
  <c r="K141" i="4"/>
  <c r="K130" i="4"/>
  <c r="K120" i="4"/>
  <c r="K68" i="4"/>
  <c r="K64" i="4"/>
  <c r="K45" i="4"/>
  <c r="K20" i="4"/>
  <c r="K35" i="4"/>
  <c r="K5" i="4"/>
  <c r="K165" i="4"/>
  <c r="K153" i="4"/>
  <c r="K133" i="4"/>
  <c r="K110" i="4"/>
  <c r="K61" i="4"/>
  <c r="K42" i="4"/>
  <c r="K163" i="4"/>
  <c r="K23" i="4"/>
  <c r="K173" i="4"/>
  <c r="K168" i="4"/>
  <c r="K18" i="4"/>
  <c r="K30" i="4"/>
  <c r="K172" i="4"/>
  <c r="K171" i="4"/>
  <c r="K143" i="4"/>
  <c r="K36" i="4"/>
  <c r="K17" i="4"/>
  <c r="K112" i="4"/>
  <c r="K170" i="4"/>
  <c r="K161" i="4"/>
  <c r="K152" i="4"/>
  <c r="K13" i="4"/>
  <c r="K40" i="4"/>
  <c r="K10" i="4"/>
  <c r="K34" i="4"/>
  <c r="K26" i="4"/>
  <c r="K22" i="4"/>
</calcChain>
</file>

<file path=xl/sharedStrings.xml><?xml version="1.0" encoding="utf-8"?>
<sst xmlns="http://schemas.openxmlformats.org/spreadsheetml/2006/main" count="2218" uniqueCount="872">
  <si>
    <t>상품명</t>
  </si>
  <si>
    <t>단가</t>
  </si>
  <si>
    <t>분류</t>
  </si>
  <si>
    <t>상세분류</t>
  </si>
  <si>
    <t>판매단위</t>
  </si>
  <si>
    <t>비고</t>
  </si>
  <si>
    <t>기타</t>
  </si>
  <si>
    <t>디퓨저</t>
  </si>
  <si>
    <t>캘리포니아센트 스필프루프 코로나도</t>
  </si>
  <si>
    <t>체리향 디퓨저</t>
  </si>
  <si>
    <t>젠틀 디퓨저 블랙로즈</t>
  </si>
  <si>
    <t>식품</t>
  </si>
  <si>
    <t>과자</t>
  </si>
  <si>
    <t>음료</t>
  </si>
  <si>
    <t>즉석밥</t>
  </si>
  <si>
    <t>차</t>
  </si>
  <si>
    <t>캔디</t>
  </si>
  <si>
    <t>화장품</t>
  </si>
  <si>
    <t>마스크팩</t>
  </si>
  <si>
    <t>선크림</t>
  </si>
  <si>
    <t>아이크림</t>
  </si>
  <si>
    <t>영양크림</t>
  </si>
  <si>
    <t>송윤아크림</t>
  </si>
  <si>
    <t>폼클렌징</t>
  </si>
  <si>
    <t>TYPE_DTL</t>
  </si>
  <si>
    <t>ITM_NM</t>
  </si>
  <si>
    <t>UNIT</t>
  </si>
  <si>
    <t>RMRK</t>
  </si>
  <si>
    <t>순번</t>
  </si>
  <si>
    <t>ITM_SEQ</t>
  </si>
  <si>
    <t>TYPE</t>
  </si>
  <si>
    <t>PRICE</t>
  </si>
  <si>
    <t>IMG</t>
  </si>
  <si>
    <t>안마기</t>
  </si>
  <si>
    <t>프링글스 버터카라멜</t>
  </si>
  <si>
    <t>프링글스 핫앤스파이시</t>
  </si>
  <si>
    <t>핫식스더킹러쉬 355ml</t>
  </si>
  <si>
    <t>맥스빌더</t>
  </si>
  <si>
    <t>SNP 골드 콜라겐 앰플 마스크</t>
  </si>
  <si>
    <t>AHC 내추럴 퍼펙션 프레쉬선스틱</t>
  </si>
  <si>
    <t>AHC프라이빗 리얼아이크림기프트세트</t>
  </si>
  <si>
    <t>]</t>
  </si>
  <si>
    <t>소세지</t>
  </si>
  <si>
    <t>롯데햄 키스틱 더블치즈 소시지</t>
  </si>
  <si>
    <t>키스틱</t>
  </si>
  <si>
    <t>쉐이크</t>
    <phoneticPr fontId="2" type="noConversion"/>
  </si>
  <si>
    <t>라면</t>
    <phoneticPr fontId="2" type="noConversion"/>
  </si>
  <si>
    <t>토너</t>
    <phoneticPr fontId="2" type="noConversion"/>
  </si>
  <si>
    <r>
      <rPr>
        <sz val="11"/>
        <color rgb="FF000000"/>
        <rFont val="Arial"/>
        <family val="3"/>
        <charset val="129"/>
        <scheme val="minor"/>
      </rPr>
      <t>그라스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디퓨저</t>
    </r>
    <r>
      <rPr>
        <sz val="11"/>
        <color rgb="FF000000"/>
        <rFont val="Arial"/>
        <family val="2"/>
        <scheme val="minor"/>
      </rPr>
      <t xml:space="preserve"> 105ml </t>
    </r>
    <r>
      <rPr>
        <sz val="11"/>
        <color rgb="FF000000"/>
        <rFont val="Arial"/>
        <family val="3"/>
        <charset val="129"/>
        <scheme val="minor"/>
      </rPr>
      <t>블랙베리</t>
    </r>
    <r>
      <rPr>
        <sz val="11"/>
        <color rgb="FF000000"/>
        <rFont val="Arial"/>
        <family val="2"/>
        <scheme val="minor"/>
      </rPr>
      <t>&amp;</t>
    </r>
    <r>
      <rPr>
        <sz val="11"/>
        <color rgb="FF000000"/>
        <rFont val="Arial"/>
        <family val="3"/>
        <charset val="129"/>
        <scheme val="minor"/>
      </rPr>
      <t>체리</t>
    </r>
  </si>
  <si>
    <r>
      <rPr>
        <sz val="11"/>
        <color rgb="FF000000"/>
        <rFont val="Arial"/>
        <family val="3"/>
        <charset val="129"/>
        <scheme val="minor"/>
      </rPr>
      <t>뉴트로지나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딥클린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아크네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포밍</t>
    </r>
  </si>
  <si>
    <r>
      <rPr>
        <sz val="11"/>
        <color rgb="FF000000"/>
        <rFont val="Arial"/>
        <family val="3"/>
        <charset val="129"/>
        <scheme val="minor"/>
      </rPr>
      <t>다우니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프리미엄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세탁세제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액체형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실내건조</t>
    </r>
  </si>
  <si>
    <r>
      <rPr>
        <sz val="11"/>
        <color rgb="FF000000"/>
        <rFont val="Arial"/>
        <family val="3"/>
        <charset val="129"/>
        <scheme val="minor"/>
      </rPr>
      <t>다이아몬드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리페어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퍼펙트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세트</t>
    </r>
  </si>
  <si>
    <r>
      <rPr>
        <sz val="11"/>
        <color rgb="FF000000"/>
        <rFont val="Arial"/>
        <family val="3"/>
        <charset val="129"/>
        <scheme val="minor"/>
      </rPr>
      <t>닥터지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레드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블레미쉬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모이스처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클렌징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폼</t>
    </r>
  </si>
  <si>
    <r>
      <rPr>
        <sz val="11"/>
        <color rgb="FF000000"/>
        <rFont val="Arial"/>
        <family val="2"/>
        <charset val="129"/>
        <scheme val="minor"/>
      </rPr>
      <t>토너</t>
    </r>
    <phoneticPr fontId="2" type="noConversion"/>
  </si>
  <si>
    <r>
      <rPr>
        <sz val="11"/>
        <color rgb="FF000000"/>
        <rFont val="Arial"/>
        <family val="3"/>
        <charset val="129"/>
        <scheme val="minor"/>
      </rPr>
      <t>닥터지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레드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블레미쉬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클리어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수딩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토너</t>
    </r>
    <r>
      <rPr>
        <sz val="11"/>
        <color rgb="FF000000"/>
        <rFont val="Arial"/>
        <family val="2"/>
        <scheme val="minor"/>
      </rPr>
      <t>, 500ml</t>
    </r>
    <phoneticPr fontId="2" type="noConversion"/>
  </si>
  <si>
    <r>
      <rPr>
        <sz val="11"/>
        <color rgb="FF000000"/>
        <rFont val="Arial"/>
        <family val="3"/>
        <charset val="129"/>
        <scheme val="minor"/>
      </rPr>
      <t>닥터지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로얄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블랙스네일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크림</t>
    </r>
  </si>
  <si>
    <r>
      <rPr>
        <sz val="11"/>
        <color rgb="FF000000"/>
        <rFont val="Arial"/>
        <family val="3"/>
        <charset val="129"/>
        <scheme val="minor"/>
      </rPr>
      <t>닥터지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메디유브이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울트라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선</t>
    </r>
    <r>
      <rPr>
        <sz val="11"/>
        <color rgb="FF000000"/>
        <rFont val="Arial"/>
        <family val="2"/>
        <scheme val="minor"/>
      </rPr>
      <t xml:space="preserve"> 50ml</t>
    </r>
  </si>
  <si>
    <r>
      <rPr>
        <sz val="11"/>
        <color rgb="FF000000"/>
        <rFont val="Arial"/>
        <family val="3"/>
        <charset val="129"/>
        <scheme val="minor"/>
      </rPr>
      <t>마녀공장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비피다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바이옴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수분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장벽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강화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크림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기획세트</t>
    </r>
  </si>
  <si>
    <r>
      <rPr>
        <sz val="11"/>
        <color rgb="FF000000"/>
        <rFont val="Arial"/>
        <family val="3"/>
        <charset val="129"/>
        <scheme val="minor"/>
      </rPr>
      <t>맛있는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오뚜기밥</t>
    </r>
    <r>
      <rPr>
        <sz val="11"/>
        <color rgb="FF000000"/>
        <rFont val="Arial"/>
        <family val="2"/>
        <scheme val="minor"/>
      </rPr>
      <t xml:space="preserve"> 210g</t>
    </r>
    <phoneticPr fontId="2" type="noConversion"/>
  </si>
  <si>
    <r>
      <rPr>
        <sz val="11"/>
        <color rgb="FF000000"/>
        <rFont val="Arial"/>
        <family val="3"/>
        <charset val="129"/>
        <scheme val="minor"/>
      </rPr>
      <t>메디힐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디엔에이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프로아틴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마스크</t>
    </r>
  </si>
  <si>
    <r>
      <rPr>
        <sz val="11"/>
        <color rgb="FF000000"/>
        <rFont val="Arial"/>
        <family val="3"/>
        <charset val="129"/>
        <scheme val="minor"/>
      </rPr>
      <t>몬스터에너지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울트라</t>
    </r>
    <r>
      <rPr>
        <sz val="11"/>
        <color rgb="FF000000"/>
        <rFont val="Arial"/>
        <family val="2"/>
        <scheme val="minor"/>
      </rPr>
      <t xml:space="preserve"> 355ml</t>
    </r>
  </si>
  <si>
    <r>
      <rPr>
        <sz val="11"/>
        <color rgb="FF000000"/>
        <rFont val="Arial"/>
        <family val="3"/>
        <charset val="129"/>
        <scheme val="minor"/>
      </rPr>
      <t>박카스맛젤리</t>
    </r>
  </si>
  <si>
    <r>
      <rPr>
        <sz val="11"/>
        <color rgb="FF000000"/>
        <rFont val="Arial"/>
        <family val="3"/>
        <charset val="129"/>
        <scheme val="minor"/>
      </rPr>
      <t>비트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마사지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건</t>
    </r>
    <r>
      <rPr>
        <sz val="11"/>
        <color rgb="FF000000"/>
        <rFont val="Arial"/>
        <family val="2"/>
        <scheme val="minor"/>
      </rPr>
      <t xml:space="preserve"> HMS-12</t>
    </r>
  </si>
  <si>
    <r>
      <rPr>
        <sz val="11"/>
        <color rgb="FF000000"/>
        <rFont val="Arial"/>
        <family val="3"/>
        <charset val="129"/>
        <scheme val="minor"/>
      </rPr>
      <t>아이소이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탄력크림</t>
    </r>
    <r>
      <rPr>
        <sz val="11"/>
        <color rgb="FF000000"/>
        <rFont val="Arial"/>
        <family val="2"/>
        <scheme val="minor"/>
      </rPr>
      <t>EX</t>
    </r>
  </si>
  <si>
    <r>
      <rPr>
        <sz val="11"/>
        <color rgb="FF000000"/>
        <rFont val="Arial"/>
        <family val="3"/>
        <charset val="129"/>
        <scheme val="minor"/>
      </rPr>
      <t>에멜시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차량용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방향제</t>
    </r>
    <r>
      <rPr>
        <sz val="11"/>
        <color rgb="FF000000"/>
        <rFont val="Arial"/>
        <family val="2"/>
        <scheme val="minor"/>
      </rPr>
      <t xml:space="preserve"> 170ml </t>
    </r>
    <r>
      <rPr>
        <sz val="11"/>
        <color rgb="FF000000"/>
        <rFont val="Arial"/>
        <family val="3"/>
        <charset val="129"/>
        <scheme val="minor"/>
      </rPr>
      <t>헤블린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오션</t>
    </r>
  </si>
  <si>
    <r>
      <rPr>
        <sz val="11"/>
        <color rgb="FF000000"/>
        <rFont val="Arial"/>
        <family val="2"/>
        <charset val="129"/>
        <scheme val="minor"/>
      </rPr>
      <t>라면</t>
    </r>
    <phoneticPr fontId="2" type="noConversion"/>
  </si>
  <si>
    <r>
      <rPr>
        <sz val="11"/>
        <color rgb="FF000000"/>
        <rFont val="Arial"/>
        <family val="3"/>
        <charset val="129"/>
        <scheme val="minor"/>
      </rPr>
      <t>오뚜기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컵누들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매콤한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맛</t>
    </r>
    <phoneticPr fontId="2" type="noConversion"/>
  </si>
  <si>
    <r>
      <rPr>
        <sz val="11"/>
        <color rgb="FF000000"/>
        <rFont val="Arial"/>
        <family val="3"/>
        <charset val="129"/>
        <scheme val="minor"/>
      </rPr>
      <t>이니스프리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퍼펙트</t>
    </r>
    <r>
      <rPr>
        <sz val="11"/>
        <color rgb="FF000000"/>
        <rFont val="Arial"/>
        <family val="2"/>
        <scheme val="minor"/>
      </rPr>
      <t>9</t>
    </r>
    <r>
      <rPr>
        <sz val="11"/>
        <color rgb="FF000000"/>
        <rFont val="Arial"/>
        <family val="3"/>
        <charset val="129"/>
        <scheme val="minor"/>
      </rPr>
      <t>인텐시브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크림</t>
    </r>
  </si>
  <si>
    <r>
      <rPr>
        <sz val="11"/>
        <color rgb="FF000000"/>
        <rFont val="Arial"/>
        <family val="3"/>
        <charset val="129"/>
        <scheme val="minor"/>
      </rPr>
      <t>이클립스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페퍼민트향</t>
    </r>
    <r>
      <rPr>
        <sz val="11"/>
        <color rgb="FF000000"/>
        <rFont val="Arial"/>
        <family val="2"/>
        <scheme val="minor"/>
      </rPr>
      <t xml:space="preserve"> 34g</t>
    </r>
  </si>
  <si>
    <r>
      <rPr>
        <sz val="11"/>
        <color rgb="FF000000"/>
        <rFont val="Arial"/>
        <family val="3"/>
        <charset val="129"/>
        <scheme val="minor"/>
      </rPr>
      <t>이클립스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피치향</t>
    </r>
    <r>
      <rPr>
        <sz val="11"/>
        <color rgb="FF000000"/>
        <rFont val="Arial"/>
        <family val="2"/>
        <scheme val="minor"/>
      </rPr>
      <t xml:space="preserve"> 34g</t>
    </r>
  </si>
  <si>
    <r>
      <rPr>
        <sz val="11"/>
        <color rgb="FF000000"/>
        <rFont val="Arial"/>
        <family val="3"/>
        <charset val="129"/>
        <scheme val="minor"/>
      </rPr>
      <t>쟈뎅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아워티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콤푸차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레몬</t>
    </r>
    <r>
      <rPr>
        <sz val="11"/>
        <color rgb="FF000000"/>
        <rFont val="Arial"/>
        <family val="2"/>
        <scheme val="minor"/>
      </rPr>
      <t xml:space="preserve"> 10p</t>
    </r>
  </si>
  <si>
    <r>
      <rPr>
        <sz val="11"/>
        <color rgb="FF000000"/>
        <rFont val="Arial"/>
        <family val="3"/>
        <charset val="129"/>
        <scheme val="minor"/>
      </rPr>
      <t>쟈뎅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아워티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콤푸차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베리</t>
    </r>
    <r>
      <rPr>
        <sz val="11"/>
        <color rgb="FF000000"/>
        <rFont val="Arial"/>
        <family val="2"/>
        <scheme val="minor"/>
      </rPr>
      <t xml:space="preserve"> 10p</t>
    </r>
  </si>
  <si>
    <r>
      <rPr>
        <sz val="11"/>
        <color rgb="FF000000"/>
        <rFont val="Arial"/>
        <family val="3"/>
        <charset val="129"/>
        <scheme val="minor"/>
      </rPr>
      <t>질레트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프로쉴드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옐로우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면도날</t>
    </r>
    <r>
      <rPr>
        <sz val="11"/>
        <color rgb="FF000000"/>
        <rFont val="Arial"/>
        <family val="2"/>
        <scheme val="minor"/>
      </rPr>
      <t xml:space="preserve"> 4</t>
    </r>
    <r>
      <rPr>
        <sz val="11"/>
        <color rgb="FF000000"/>
        <rFont val="Arial"/>
        <family val="3"/>
        <charset val="129"/>
        <scheme val="minor"/>
      </rPr>
      <t>입</t>
    </r>
  </si>
  <si>
    <r>
      <rPr>
        <sz val="11"/>
        <color rgb="FF000000"/>
        <rFont val="Arial"/>
        <family val="3"/>
        <charset val="129"/>
        <scheme val="minor"/>
      </rPr>
      <t>코주부</t>
    </r>
    <r>
      <rPr>
        <sz val="11"/>
        <color rgb="FF000000"/>
        <rFont val="Arial"/>
        <family val="2"/>
        <scheme val="minor"/>
      </rPr>
      <t xml:space="preserve"> CLASSIC </t>
    </r>
    <r>
      <rPr>
        <sz val="11"/>
        <color rgb="FF000000"/>
        <rFont val="Arial"/>
        <family val="3"/>
        <charset val="129"/>
        <scheme val="minor"/>
      </rPr>
      <t>육포</t>
    </r>
    <r>
      <rPr>
        <sz val="11"/>
        <color rgb="FF000000"/>
        <rFont val="Arial"/>
        <family val="2"/>
        <scheme val="minor"/>
      </rPr>
      <t xml:space="preserve"> HOT &amp; SPICY 130g</t>
    </r>
    <phoneticPr fontId="2" type="noConversion"/>
  </si>
  <si>
    <r>
      <rPr>
        <sz val="11"/>
        <color rgb="FF000000"/>
        <rFont val="Arial"/>
        <family val="3"/>
        <charset val="129"/>
        <scheme val="minor"/>
      </rPr>
      <t>코주부</t>
    </r>
    <r>
      <rPr>
        <sz val="11"/>
        <color rgb="FF000000"/>
        <rFont val="Arial"/>
        <family val="2"/>
        <scheme val="minor"/>
      </rPr>
      <t xml:space="preserve"> CLASSIC </t>
    </r>
    <r>
      <rPr>
        <sz val="11"/>
        <color rgb="FF000000"/>
        <rFont val="Arial"/>
        <family val="3"/>
        <charset val="129"/>
        <scheme val="minor"/>
      </rPr>
      <t>육포</t>
    </r>
    <r>
      <rPr>
        <sz val="11"/>
        <color rgb="FF000000"/>
        <rFont val="Arial"/>
        <family val="2"/>
        <scheme val="minor"/>
      </rPr>
      <t xml:space="preserve"> Mild 130g</t>
    </r>
    <phoneticPr fontId="2" type="noConversion"/>
  </si>
  <si>
    <r>
      <rPr>
        <sz val="11"/>
        <color rgb="FF000000"/>
        <rFont val="Arial"/>
        <family val="3"/>
        <charset val="129"/>
        <scheme val="minor"/>
      </rPr>
      <t>퀘이커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마시는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오트밀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단백질</t>
    </r>
    <r>
      <rPr>
        <sz val="11"/>
        <color rgb="FF000000"/>
        <rFont val="Arial"/>
        <family val="2"/>
        <scheme val="minor"/>
      </rPr>
      <t>, 80g</t>
    </r>
    <phoneticPr fontId="2" type="noConversion"/>
  </si>
  <si>
    <r>
      <rPr>
        <sz val="11"/>
        <color rgb="FF000000"/>
        <rFont val="Arial"/>
        <family val="3"/>
        <charset val="129"/>
        <scheme val="minor"/>
      </rPr>
      <t>퀘이커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마시는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오트밀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오트</t>
    </r>
    <r>
      <rPr>
        <sz val="11"/>
        <color rgb="FF000000"/>
        <rFont val="Arial"/>
        <family val="2"/>
        <scheme val="minor"/>
      </rPr>
      <t>&amp;</t>
    </r>
    <r>
      <rPr>
        <sz val="11"/>
        <color rgb="FF000000"/>
        <rFont val="Arial"/>
        <family val="3"/>
        <charset val="129"/>
        <scheme val="minor"/>
      </rPr>
      <t>우리쌀</t>
    </r>
    <r>
      <rPr>
        <sz val="11"/>
        <color rgb="FF000000"/>
        <rFont val="Arial"/>
        <family val="2"/>
        <scheme val="minor"/>
      </rPr>
      <t>, 50g</t>
    </r>
    <phoneticPr fontId="2" type="noConversion"/>
  </si>
  <si>
    <r>
      <rPr>
        <sz val="11"/>
        <color rgb="FF000000"/>
        <rFont val="Arial"/>
        <family val="3"/>
        <charset val="129"/>
        <scheme val="minor"/>
      </rPr>
      <t>퀘이커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마시는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오트밀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찰옥수수</t>
    </r>
    <r>
      <rPr>
        <sz val="11"/>
        <color rgb="FF000000"/>
        <rFont val="Arial"/>
        <family val="2"/>
        <scheme val="minor"/>
      </rPr>
      <t>, 50g</t>
    </r>
    <phoneticPr fontId="2" type="noConversion"/>
  </si>
  <si>
    <r>
      <rPr>
        <sz val="11"/>
        <color rgb="FF000000"/>
        <rFont val="Arial"/>
        <family val="3"/>
        <charset val="129"/>
        <scheme val="minor"/>
      </rPr>
      <t>퀘이커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마시는오트밀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오트</t>
    </r>
    <r>
      <rPr>
        <sz val="11"/>
        <color rgb="FF000000"/>
        <rFont val="Arial"/>
        <family val="2"/>
        <scheme val="minor"/>
      </rPr>
      <t>&amp;</t>
    </r>
    <r>
      <rPr>
        <sz val="11"/>
        <color rgb="FF000000"/>
        <rFont val="Arial"/>
        <family val="3"/>
        <charset val="129"/>
        <scheme val="minor"/>
      </rPr>
      <t>그레인</t>
    </r>
    <r>
      <rPr>
        <sz val="11"/>
        <color rgb="FF000000"/>
        <rFont val="Arial"/>
        <family val="2"/>
        <scheme val="minor"/>
      </rPr>
      <t>, 50g</t>
    </r>
    <phoneticPr fontId="2" type="noConversion"/>
  </si>
  <si>
    <r>
      <rPr>
        <sz val="11"/>
        <color rgb="FF000000"/>
        <rFont val="Arial"/>
        <family val="3"/>
        <charset val="129"/>
        <scheme val="minor"/>
      </rPr>
      <t>키커바</t>
    </r>
  </si>
  <si>
    <r>
      <rPr>
        <sz val="11"/>
        <color rgb="FF000000"/>
        <rFont val="Arial"/>
        <family val="3"/>
        <charset val="129"/>
        <scheme val="minor"/>
      </rPr>
      <t>펩시제로슈거라임</t>
    </r>
    <r>
      <rPr>
        <sz val="11"/>
        <color rgb="FF000000"/>
        <rFont val="Arial"/>
        <family val="2"/>
        <scheme val="minor"/>
      </rPr>
      <t xml:space="preserve"> 500ml</t>
    </r>
  </si>
  <si>
    <r>
      <rPr>
        <sz val="11"/>
        <color rgb="FF000000"/>
        <rFont val="Arial"/>
        <family val="3"/>
        <charset val="129"/>
        <scheme val="minor"/>
      </rPr>
      <t>프링글스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리치치즈갈릭</t>
    </r>
  </si>
  <si>
    <r>
      <rPr>
        <sz val="11"/>
        <color rgb="FF000000"/>
        <rFont val="Arial"/>
        <family val="3"/>
        <charset val="129"/>
        <scheme val="minor"/>
      </rPr>
      <t>핫식스더킹파워</t>
    </r>
    <r>
      <rPr>
        <sz val="11"/>
        <color rgb="FF000000"/>
        <rFont val="Arial"/>
        <family val="2"/>
        <scheme val="minor"/>
      </rPr>
      <t xml:space="preserve"> 355ml</t>
    </r>
  </si>
  <si>
    <r>
      <rPr>
        <sz val="11"/>
        <color rgb="FF000000"/>
        <rFont val="Arial"/>
        <family val="3"/>
        <charset val="129"/>
        <scheme val="minor"/>
      </rPr>
      <t>햇반</t>
    </r>
    <r>
      <rPr>
        <sz val="11"/>
        <color rgb="FF000000"/>
        <rFont val="Arial"/>
        <family val="2"/>
        <scheme val="minor"/>
      </rPr>
      <t xml:space="preserve"> 130g</t>
    </r>
  </si>
  <si>
    <r>
      <rPr>
        <sz val="11"/>
        <color rgb="FF000000"/>
        <rFont val="Arial"/>
        <family val="3"/>
        <charset val="129"/>
        <scheme val="minor"/>
      </rPr>
      <t>햇반</t>
    </r>
    <r>
      <rPr>
        <sz val="11"/>
        <color rgb="FF000000"/>
        <rFont val="Arial"/>
        <family val="2"/>
        <scheme val="minor"/>
      </rPr>
      <t xml:space="preserve"> 210g</t>
    </r>
    <phoneticPr fontId="2" type="noConversion"/>
  </si>
  <si>
    <r>
      <rPr>
        <sz val="11"/>
        <color rgb="FF000000"/>
        <rFont val="Arial"/>
        <family val="3"/>
        <charset val="129"/>
        <scheme val="minor"/>
      </rPr>
      <t>햇반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Arial"/>
        <family val="3"/>
        <charset val="129"/>
        <scheme val="minor"/>
      </rPr>
      <t>매일잡곡밥</t>
    </r>
    <r>
      <rPr>
        <sz val="11"/>
        <color rgb="FF000000"/>
        <rFont val="Arial"/>
        <family val="2"/>
        <scheme val="minor"/>
      </rPr>
      <t xml:space="preserve"> 210g</t>
    </r>
    <phoneticPr fontId="2" type="noConversion"/>
  </si>
  <si>
    <r>
      <rPr>
        <sz val="11"/>
        <color rgb="FF000000"/>
        <rFont val="Arial"/>
        <family val="3"/>
        <charset val="129"/>
        <scheme val="minor"/>
      </rPr>
      <t>햇반흑미밥</t>
    </r>
    <r>
      <rPr>
        <sz val="11"/>
        <color rgb="FF000000"/>
        <rFont val="Arial"/>
        <family val="2"/>
        <scheme val="minor"/>
      </rPr>
      <t xml:space="preserve"> 130g</t>
    </r>
    <phoneticPr fontId="2" type="noConversion"/>
  </si>
  <si>
    <r>
      <rPr>
        <b/>
        <sz val="11"/>
        <color rgb="FF000000"/>
        <rFont val="Arial"/>
        <family val="3"/>
        <charset val="129"/>
        <scheme val="minor"/>
      </rPr>
      <t>판매가</t>
    </r>
  </si>
  <si>
    <r>
      <rPr>
        <b/>
        <sz val="11"/>
        <color rgb="FF000000"/>
        <rFont val="Arial"/>
        <family val="3"/>
        <charset val="129"/>
        <scheme val="minor"/>
      </rPr>
      <t>이미지</t>
    </r>
  </si>
  <si>
    <t>기타</t>
    <phoneticPr fontId="2" type="noConversion"/>
  </si>
  <si>
    <t>2080닥터크리닉잇몸치약(3개 묶음)</t>
  </si>
  <si>
    <t>AIR MESH 로카티 GMR904</t>
  </si>
  <si>
    <t>고농축피죤 써니가든 1.6L</t>
  </si>
  <si>
    <t>고농축피죤 플라워페스티벌 2.3L</t>
  </si>
  <si>
    <t>꿀타이밍 야생화스틱15T</t>
  </si>
  <si>
    <t>듀이트리 울트라 바이탈라이징 스네일 달팽이 3종 세트</t>
  </si>
  <si>
    <t>라운드랩 1025 독도 토너 대용량, 500ml</t>
  </si>
  <si>
    <t>마데카메디패치스팟패피 51매</t>
  </si>
  <si>
    <t>메디안 미백과학 치약 플럼민트향</t>
  </si>
  <si>
    <t>메디힐 WHP 미백수분 블랙마스크</t>
  </si>
  <si>
    <t>박카스</t>
  </si>
  <si>
    <t>불스원 그라스 디퓨저 코튼향(차량방향제)</t>
  </si>
  <si>
    <t>비트 트리플액션 2.8L(일반)</t>
  </si>
  <si>
    <t>센카 퍼팩트 휩 페이셜 워시</t>
  </si>
  <si>
    <t>아누아 어성초 80 수분 진정 앰플</t>
  </si>
  <si>
    <t>아누아 어성초70 데일리 로션 200ml</t>
  </si>
  <si>
    <t>아몬드 빼빼로</t>
  </si>
  <si>
    <t>아몬드초코볼</t>
  </si>
  <si>
    <t>아몬드푸레이크</t>
  </si>
  <si>
    <t>아비브 부활초 크림 뉴트리션 튜브</t>
  </si>
  <si>
    <t>아워티 핑크리치 캐모마일티 8p</t>
  </si>
  <si>
    <t>안성탕면</t>
  </si>
  <si>
    <t>엄마손파이</t>
  </si>
  <si>
    <t>왕고래밥볶음양념맛</t>
  </si>
  <si>
    <t>졸음번쩍껌 울트라파워</t>
  </si>
  <si>
    <t>초코틴인틴</t>
  </si>
  <si>
    <t>칠성사이다제로(250ml)</t>
  </si>
  <si>
    <t>칠성사이다제로(500ml)</t>
  </si>
  <si>
    <t>쿠크다스케이크</t>
  </si>
  <si>
    <t>크라운산도딸기</t>
  </si>
  <si>
    <t>크런키 빼빼로</t>
  </si>
  <si>
    <t>키캣 4핑거</t>
  </si>
  <si>
    <t>테크 특유취 제거 2.7L(일반용)</t>
  </si>
  <si>
    <t>티트리 퓨리파잉 토닉 100ml</t>
  </si>
  <si>
    <t>틴인틴</t>
  </si>
  <si>
    <t>피시스낵 스파이스맛</t>
  </si>
  <si>
    <t>나랑드사이다 245ml</t>
  </si>
  <si>
    <t>나랑드사이다 그린애플 245ml</t>
  </si>
  <si>
    <t>나랑드사이다 파인애플 245ml</t>
  </si>
  <si>
    <t>아이브 부활초 크림 뉴트리션 튜브</t>
  </si>
  <si>
    <t>아이소이 블레미쉬 케어 업 크림</t>
  </si>
  <si>
    <t>액티브 프로 바이오틱스</t>
  </si>
  <si>
    <t>엘지생활건강 히말라야 핑크솔트 담은 펌핑 치약 아이스 카밍 민트 285g</t>
  </si>
  <si>
    <t>핫식스더킹크러쉬피치 355ml</t>
  </si>
  <si>
    <t>바디</t>
    <phoneticPr fontId="2" type="noConversion"/>
  </si>
  <si>
    <r>
      <t xml:space="preserve">AHC </t>
    </r>
    <r>
      <rPr>
        <sz val="11"/>
        <color rgb="FF000000"/>
        <rFont val="맑은 고딕"/>
        <family val="3"/>
        <charset val="129"/>
      </rPr>
      <t>에이치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멜라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루트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크림</t>
    </r>
    <r>
      <rPr>
        <sz val="11"/>
        <color rgb="FF000000"/>
        <rFont val="Arial"/>
        <family val="2"/>
        <scheme val="minor"/>
      </rPr>
      <t xml:space="preserve">(AHC </t>
    </r>
    <r>
      <rPr>
        <sz val="11"/>
        <color rgb="FF000000"/>
        <rFont val="맑은 고딕"/>
        <family val="3"/>
        <charset val="129"/>
      </rPr>
      <t>기미크림</t>
    </r>
    <r>
      <rPr>
        <sz val="11"/>
        <color rgb="FF000000"/>
        <rFont val="Arial"/>
        <family val="2"/>
        <scheme val="minor"/>
      </rPr>
      <t>)</t>
    </r>
    <phoneticPr fontId="2" type="noConversion"/>
  </si>
  <si>
    <r>
      <rPr>
        <sz val="11"/>
        <color rgb="FF000000"/>
        <rFont val="맑은 고딕"/>
        <family val="3"/>
        <charset val="129"/>
      </rPr>
      <t>니베아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맨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센서티브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쉐이빙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폼</t>
    </r>
    <r>
      <rPr>
        <sz val="11"/>
        <color rgb="FF000000"/>
        <rFont val="Arial"/>
        <family val="3"/>
      </rPr>
      <t>, 250ml</t>
    </r>
    <phoneticPr fontId="2" type="noConversion"/>
  </si>
  <si>
    <r>
      <rPr>
        <sz val="11"/>
        <color rgb="FF000000"/>
        <rFont val="맑은 고딕"/>
        <family val="3"/>
        <charset val="129"/>
      </rPr>
      <t>닥터지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블랙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스네일크림</t>
    </r>
    <r>
      <rPr>
        <sz val="11"/>
        <color rgb="FF000000"/>
        <rFont val="Arial"/>
        <family val="3"/>
      </rPr>
      <t>, 50ml</t>
    </r>
    <phoneticPr fontId="2" type="noConversion"/>
  </si>
  <si>
    <r>
      <rPr>
        <sz val="11"/>
        <color rgb="FF000000"/>
        <rFont val="맑은 고딕"/>
        <family val="3"/>
        <charset val="129"/>
      </rPr>
      <t>닥터자르트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바이탈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하이드라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솔루션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하이드로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플럼프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트리트먼트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에센스</t>
    </r>
    <r>
      <rPr>
        <sz val="11"/>
        <color rgb="FF000000"/>
        <rFont val="Arial"/>
        <family val="3"/>
      </rPr>
      <t>, 150ml</t>
    </r>
    <phoneticPr fontId="2" type="noConversion"/>
  </si>
  <si>
    <r>
      <rPr>
        <sz val="11"/>
        <color rgb="FF000000"/>
        <rFont val="맑은 고딕"/>
        <family val="3"/>
        <charset val="129"/>
      </rPr>
      <t>닥터지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그린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마일드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업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선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스틱,</t>
    </r>
    <r>
      <rPr>
        <sz val="11"/>
        <color rgb="FF000000"/>
        <rFont val="Arial"/>
        <family val="3"/>
      </rPr>
      <t xml:space="preserve"> 20g</t>
    </r>
    <phoneticPr fontId="2" type="noConversion"/>
  </si>
  <si>
    <t>const data = [</t>
    <phoneticPr fontId="2" type="noConversion"/>
  </si>
  <si>
    <r>
      <rPr>
        <sz val="11"/>
        <color rgb="FF000000"/>
        <rFont val="맑은 고딕"/>
        <family val="3"/>
        <charset val="129"/>
      </rPr>
      <t>닥터지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더모이스처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배리어</t>
    </r>
    <r>
      <rPr>
        <sz val="11"/>
        <color rgb="FF000000"/>
        <rFont val="Arial"/>
        <family val="3"/>
      </rPr>
      <t xml:space="preserve"> D </t>
    </r>
    <r>
      <rPr>
        <sz val="11"/>
        <color rgb="FF000000"/>
        <rFont val="맑은 고딕"/>
        <family val="3"/>
        <charset val="129"/>
      </rPr>
      <t>로션</t>
    </r>
    <r>
      <rPr>
        <sz val="11"/>
        <color rgb="FF000000"/>
        <rFont val="Arial"/>
        <family val="3"/>
      </rPr>
      <t>, 200ml</t>
    </r>
    <phoneticPr fontId="2" type="noConversion"/>
  </si>
  <si>
    <r>
      <rPr>
        <sz val="11"/>
        <color rgb="FF000000"/>
        <rFont val="맑은 고딕"/>
        <family val="3"/>
        <charset val="129"/>
      </rPr>
      <t>닥터지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레드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블레미쉬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클리어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크림,</t>
    </r>
    <r>
      <rPr>
        <sz val="11"/>
        <color rgb="FF000000"/>
        <rFont val="Arial"/>
        <family val="2"/>
        <scheme val="minor"/>
      </rPr>
      <t xml:space="preserve"> 70ml</t>
    </r>
    <phoneticPr fontId="2" type="noConversion"/>
  </si>
  <si>
    <r>
      <rPr>
        <sz val="11"/>
        <color rgb="FF000000"/>
        <rFont val="맑은 고딕"/>
        <family val="3"/>
        <charset val="129"/>
      </rPr>
      <t>닥터지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로얄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블랙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스네일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탄력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스페셜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세트</t>
    </r>
    <r>
      <rPr>
        <sz val="11"/>
        <color rgb="FF000000"/>
        <rFont val="Arial"/>
        <family val="3"/>
      </rPr>
      <t xml:space="preserve"> (</t>
    </r>
    <r>
      <rPr>
        <sz val="11"/>
        <color rgb="FF000000"/>
        <rFont val="맑은 고딕"/>
        <family val="3"/>
        <charset val="129"/>
      </rPr>
      <t>에센스</t>
    </r>
    <r>
      <rPr>
        <sz val="11"/>
        <color rgb="FF000000"/>
        <rFont val="Arial"/>
        <family val="3"/>
      </rPr>
      <t xml:space="preserve"> + </t>
    </r>
    <r>
      <rPr>
        <sz val="11"/>
        <color rgb="FF000000"/>
        <rFont val="맑은 고딕"/>
        <family val="3"/>
        <charset val="129"/>
      </rPr>
      <t>크림</t>
    </r>
    <r>
      <rPr>
        <sz val="11"/>
        <color rgb="FF000000"/>
        <rFont val="Arial"/>
        <family val="3"/>
      </rPr>
      <t xml:space="preserve"> + </t>
    </r>
    <r>
      <rPr>
        <sz val="11"/>
        <color rgb="FF000000"/>
        <rFont val="맑은 고딕"/>
        <family val="3"/>
        <charset val="129"/>
      </rPr>
      <t>아이크림</t>
    </r>
    <r>
      <rPr>
        <sz val="11"/>
        <color rgb="FF000000"/>
        <rFont val="Arial"/>
        <family val="3"/>
      </rPr>
      <t xml:space="preserve"> + </t>
    </r>
    <r>
      <rPr>
        <sz val="11"/>
        <color rgb="FF000000"/>
        <rFont val="맑은 고딕"/>
        <family val="3"/>
        <charset val="129"/>
      </rPr>
      <t>마스크팩</t>
    </r>
    <r>
      <rPr>
        <sz val="11"/>
        <color rgb="FF000000"/>
        <rFont val="Arial"/>
        <family val="3"/>
      </rPr>
      <t>)</t>
    </r>
    <phoneticPr fontId="2" type="noConversion"/>
  </si>
  <si>
    <t>라운드랩 1025 독도 수분 워터겔 마스크 30ml</t>
    <phoneticPr fontId="2" type="noConversion"/>
  </si>
  <si>
    <r>
      <rPr>
        <sz val="11"/>
        <color rgb="FF000000"/>
        <rFont val="맑은 고딕"/>
        <family val="3"/>
        <charset val="129"/>
      </rPr>
      <t>듀이트리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울트라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바이탈라이징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스네일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에센스워터,</t>
    </r>
    <r>
      <rPr>
        <sz val="11"/>
        <color rgb="FF000000"/>
        <rFont val="Arial"/>
        <family val="3"/>
      </rPr>
      <t xml:space="preserve"> 150ml</t>
    </r>
    <phoneticPr fontId="2" type="noConversion"/>
  </si>
  <si>
    <r>
      <rPr>
        <sz val="11"/>
        <color rgb="FF000000"/>
        <rFont val="맑은 고딕"/>
        <family val="3"/>
        <charset val="129"/>
      </rPr>
      <t>라운드랩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약콩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판테놀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크림</t>
    </r>
    <r>
      <rPr>
        <sz val="11"/>
        <color rgb="FF000000"/>
        <rFont val="Arial"/>
        <family val="3"/>
      </rPr>
      <t>, 80ml</t>
    </r>
    <phoneticPr fontId="2" type="noConversion"/>
  </si>
  <si>
    <r>
      <rPr>
        <sz val="11"/>
        <color rgb="FF000000"/>
        <rFont val="맑은 고딕"/>
        <family val="3"/>
        <charset val="129"/>
      </rPr>
      <t>마녀공장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퓨리파잉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소다폼</t>
    </r>
    <r>
      <rPr>
        <sz val="11"/>
        <color rgb="FF000000"/>
        <rFont val="Arial"/>
        <family val="3"/>
      </rPr>
      <t>, 150ml</t>
    </r>
    <phoneticPr fontId="2" type="noConversion"/>
  </si>
  <si>
    <r>
      <rPr>
        <sz val="11"/>
        <color rgb="FF000000"/>
        <rFont val="맑은 고딕"/>
        <family val="2"/>
        <charset val="129"/>
      </rPr>
      <t>청정원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2"/>
        <charset val="129"/>
      </rPr>
      <t>프리미엄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2"/>
        <charset val="129"/>
      </rPr>
      <t>굴소스</t>
    </r>
    <r>
      <rPr>
        <sz val="11"/>
        <color rgb="FF000000"/>
        <rFont val="Arial"/>
        <family val="2"/>
        <scheme val="minor"/>
      </rPr>
      <t>, 500g</t>
    </r>
    <phoneticPr fontId="2" type="noConversion"/>
  </si>
  <si>
    <t>질레트프로글라이드</t>
    <phoneticPr fontId="2" type="noConversion"/>
  </si>
  <si>
    <r>
      <t xml:space="preserve">ROKA </t>
    </r>
    <r>
      <rPr>
        <sz val="11"/>
        <color rgb="FF000000"/>
        <rFont val="맑은 고딕"/>
        <family val="3"/>
        <charset val="129"/>
      </rPr>
      <t>반팔티</t>
    </r>
    <phoneticPr fontId="2" type="noConversion"/>
  </si>
  <si>
    <r>
      <rPr>
        <sz val="11"/>
        <color rgb="FF000000"/>
        <rFont val="맑은 고딕"/>
        <family val="3"/>
        <charset val="129"/>
      </rPr>
      <t>오뚜기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가쓰오부시장국</t>
    </r>
    <r>
      <rPr>
        <sz val="11"/>
        <color rgb="FF000000"/>
        <rFont val="Arial"/>
        <family val="3"/>
      </rPr>
      <t>, 360ml</t>
    </r>
    <phoneticPr fontId="2" type="noConversion"/>
  </si>
  <si>
    <r>
      <rPr>
        <sz val="11"/>
        <color rgb="FF000000"/>
        <rFont val="맑은 고딕"/>
        <family val="3"/>
        <charset val="129"/>
      </rPr>
      <t>고소한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건강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생각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참기름</t>
    </r>
    <phoneticPr fontId="2" type="noConversion"/>
  </si>
  <si>
    <t>까스활액</t>
    <phoneticPr fontId="2" type="noConversion"/>
  </si>
  <si>
    <t>꼬마웨하스바닐라맛</t>
    <phoneticPr fontId="2" type="noConversion"/>
  </si>
  <si>
    <r>
      <rPr>
        <sz val="11"/>
        <color rgb="FF000000"/>
        <rFont val="맑은 고딕"/>
        <family val="3"/>
        <charset val="129"/>
      </rPr>
      <t>꽃샘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피어나다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국화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유자</t>
    </r>
    <r>
      <rPr>
        <sz val="11"/>
        <color rgb="FF000000"/>
        <rFont val="Arial"/>
        <family val="3"/>
      </rPr>
      <t>, 350g</t>
    </r>
    <phoneticPr fontId="2" type="noConversion"/>
  </si>
  <si>
    <r>
      <rPr>
        <sz val="11"/>
        <color rgb="FF000000"/>
        <rFont val="맑은 고딕"/>
        <family val="3"/>
        <charset val="129"/>
      </rPr>
      <t>꽃샘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피어나다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히비스커스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자몽</t>
    </r>
    <r>
      <rPr>
        <sz val="11"/>
        <color rgb="FF000000"/>
        <rFont val="Arial"/>
        <family val="3"/>
      </rPr>
      <t>, 350g</t>
    </r>
    <phoneticPr fontId="2" type="noConversion"/>
  </si>
  <si>
    <r>
      <rPr>
        <sz val="11"/>
        <color rgb="FF000000"/>
        <rFont val="Arial"/>
        <family val="3"/>
      </rPr>
      <t xml:space="preserve">2080 </t>
    </r>
    <r>
      <rPr>
        <sz val="11"/>
        <color rgb="FF000000"/>
        <rFont val="맑은 고딕"/>
        <family val="3"/>
        <charset val="129"/>
      </rPr>
      <t>덴탈크리닉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뉴샤이닝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화이트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치약</t>
    </r>
    <r>
      <rPr>
        <sz val="11"/>
        <color rgb="FF000000"/>
        <rFont val="Arial"/>
        <family val="3"/>
      </rPr>
      <t>, 140g</t>
    </r>
    <phoneticPr fontId="2" type="noConversion"/>
  </si>
  <si>
    <r>
      <rPr>
        <sz val="11"/>
        <color rgb="FF000000"/>
        <rFont val="맑은 고딕"/>
        <family val="3"/>
        <charset val="129"/>
      </rPr>
      <t>더프트앤도프트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파인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프라그란스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바디미스트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핑크브리즈향</t>
    </r>
    <r>
      <rPr>
        <sz val="11"/>
        <color rgb="FF000000"/>
        <rFont val="Arial"/>
        <family val="3"/>
      </rPr>
      <t>, 150ml</t>
    </r>
    <phoneticPr fontId="2" type="noConversion"/>
  </si>
  <si>
    <r>
      <rPr>
        <sz val="11"/>
        <color rgb="FF000000"/>
        <rFont val="맑은 고딕"/>
        <family val="3"/>
        <charset val="129"/>
      </rPr>
      <t>데미소다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복숭아</t>
    </r>
    <r>
      <rPr>
        <sz val="11"/>
        <color rgb="FF000000"/>
        <rFont val="Arial"/>
        <family val="3"/>
      </rPr>
      <t>, 250ml</t>
    </r>
    <phoneticPr fontId="2" type="noConversion"/>
  </si>
  <si>
    <r>
      <rPr>
        <sz val="11"/>
        <color rgb="FF000000"/>
        <rFont val="맑은 고딕"/>
        <family val="3"/>
        <charset val="129"/>
      </rPr>
      <t>스팀베이스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데일리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아이마스크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라벤더향</t>
    </r>
    <r>
      <rPr>
        <sz val="11"/>
        <color rgb="FF000000"/>
        <rFont val="Arial"/>
        <family val="3"/>
      </rPr>
      <t>, 14</t>
    </r>
    <r>
      <rPr>
        <sz val="11"/>
        <color rgb="FF000000"/>
        <rFont val="맑은 고딕"/>
        <family val="3"/>
        <charset val="129"/>
      </rPr>
      <t>매입</t>
    </r>
    <phoneticPr fontId="2" type="noConversion"/>
  </si>
  <si>
    <r>
      <rPr>
        <sz val="11"/>
        <color rgb="FF000000"/>
        <rFont val="맑은 고딕"/>
        <family val="3"/>
        <charset val="129"/>
      </rPr>
      <t>데체코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올리오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엑스트라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버진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디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올리바</t>
    </r>
    <r>
      <rPr>
        <sz val="11"/>
        <color rgb="FF000000"/>
        <rFont val="Arial"/>
        <family val="3"/>
      </rPr>
      <t>, 1L</t>
    </r>
    <phoneticPr fontId="2" type="noConversion"/>
  </si>
  <si>
    <r>
      <rPr>
        <sz val="11"/>
        <color rgb="FF000000"/>
        <rFont val="맑은 고딕"/>
        <family val="3"/>
        <charset val="129"/>
      </rPr>
      <t>듀이트리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울트라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바이탈라이징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스네일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크림</t>
    </r>
    <r>
      <rPr>
        <sz val="11"/>
        <color rgb="FF000000"/>
        <rFont val="Arial"/>
        <family val="3"/>
      </rPr>
      <t xml:space="preserve"> 80ml+</t>
    </r>
    <r>
      <rPr>
        <sz val="11"/>
        <color rgb="FF000000"/>
        <rFont val="맑은 고딕"/>
        <family val="3"/>
        <charset val="129"/>
      </rPr>
      <t>샘플</t>
    </r>
    <r>
      <rPr>
        <sz val="11"/>
        <color rgb="FF000000"/>
        <rFont val="Arial"/>
        <family val="3"/>
      </rPr>
      <t xml:space="preserve"> 10ml</t>
    </r>
    <phoneticPr fontId="2" type="noConversion"/>
  </si>
  <si>
    <r>
      <rPr>
        <sz val="11"/>
        <color rgb="FF000000"/>
        <rFont val="맑은 고딕"/>
        <family val="3"/>
        <charset val="129"/>
      </rPr>
      <t>라보에이치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프로바이오틱스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탈모증상완화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샴푸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두피쿨링</t>
    </r>
    <r>
      <rPr>
        <sz val="11"/>
        <color rgb="FF000000"/>
        <rFont val="Arial"/>
        <family val="3"/>
      </rPr>
      <t>, 400ml</t>
    </r>
    <phoneticPr fontId="2" type="noConversion"/>
  </si>
  <si>
    <r>
      <rPr>
        <sz val="11"/>
        <color rgb="FF000000"/>
        <rFont val="맑은 고딕"/>
        <family val="3"/>
        <charset val="129"/>
      </rPr>
      <t>려</t>
    </r>
    <r>
      <rPr>
        <sz val="11"/>
        <color rgb="FF000000"/>
        <rFont val="Arial"/>
        <family val="3"/>
        <charset val="129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흑운</t>
    </r>
    <r>
      <rPr>
        <sz val="11"/>
        <color rgb="FF000000"/>
        <rFont val="Arial"/>
        <family val="3"/>
        <charset val="129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모근강화</t>
    </r>
    <r>
      <rPr>
        <sz val="11"/>
        <color rgb="FF000000"/>
        <rFont val="Arial"/>
        <family val="3"/>
        <charset val="129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볼륨케어</t>
    </r>
    <r>
      <rPr>
        <sz val="11"/>
        <color rgb="FF000000"/>
        <rFont val="Arial"/>
        <family val="3"/>
        <charset val="129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샴푸</t>
    </r>
    <r>
      <rPr>
        <sz val="11"/>
        <color rgb="FF000000"/>
        <rFont val="Arial"/>
        <family val="3"/>
        <charset val="129"/>
        <scheme val="minor"/>
      </rPr>
      <t>, 500ml</t>
    </r>
    <phoneticPr fontId="2" type="noConversion"/>
  </si>
  <si>
    <r>
      <rPr>
        <sz val="11"/>
        <color rgb="FF000000"/>
        <rFont val="맑은 고딕"/>
        <family val="3"/>
        <charset val="129"/>
      </rPr>
      <t>크라운</t>
    </r>
    <r>
      <rPr>
        <sz val="11"/>
        <color rgb="FF000000"/>
        <rFont val="Arial"/>
        <family val="3"/>
      </rPr>
      <t xml:space="preserve"> NEW </t>
    </r>
    <r>
      <rPr>
        <sz val="11"/>
        <color rgb="FF000000"/>
        <rFont val="맑은 고딕"/>
        <family val="3"/>
        <charset val="129"/>
      </rPr>
      <t>롱스</t>
    </r>
    <phoneticPr fontId="2" type="noConversion"/>
  </si>
  <si>
    <r>
      <rPr>
        <sz val="11"/>
        <color rgb="FF000000"/>
        <rFont val="맑은 고딕"/>
        <family val="3"/>
        <charset val="129"/>
      </rPr>
      <t>바세린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리프팅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리페어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로션</t>
    </r>
    <r>
      <rPr>
        <sz val="11"/>
        <color rgb="FF000000"/>
        <rFont val="Arial"/>
        <family val="3"/>
      </rPr>
      <t xml:space="preserve"> 450ml</t>
    </r>
    <phoneticPr fontId="2" type="noConversion"/>
  </si>
  <si>
    <r>
      <rPr>
        <sz val="11"/>
        <color rgb="FF000000"/>
        <rFont val="맑은 고딕"/>
        <family val="3"/>
        <charset val="129"/>
      </rPr>
      <t>비알티씨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파워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옴므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올인원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솔루션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기획세트</t>
    </r>
    <r>
      <rPr>
        <sz val="11"/>
        <color rgb="FF000000"/>
        <rFont val="Arial"/>
        <family val="3"/>
      </rPr>
      <t xml:space="preserve"> 200ML+50ML</t>
    </r>
    <phoneticPr fontId="2" type="noConversion"/>
  </si>
  <si>
    <r>
      <rPr>
        <sz val="11"/>
        <color rgb="FF000000"/>
        <rFont val="맑은 고딕"/>
        <family val="3"/>
        <charset val="129"/>
      </rPr>
      <t>비욘드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바디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디펜스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샤워</t>
    </r>
    <r>
      <rPr>
        <sz val="11"/>
        <color rgb="FF000000"/>
        <rFont val="Arial"/>
        <family val="3"/>
      </rPr>
      <t xml:space="preserve"> 450ml</t>
    </r>
    <phoneticPr fontId="2" type="noConversion"/>
  </si>
  <si>
    <r>
      <rPr>
        <sz val="11"/>
        <color rgb="FF000000"/>
        <rFont val="맑은 고딕"/>
        <family val="3"/>
        <charset val="129"/>
      </rPr>
      <t>비욘드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바디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디펜스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에멀전</t>
    </r>
    <r>
      <rPr>
        <sz val="11"/>
        <color rgb="FF000000"/>
        <rFont val="Arial"/>
        <family val="3"/>
      </rPr>
      <t xml:space="preserve"> 450ml</t>
    </r>
    <phoneticPr fontId="2" type="noConversion"/>
  </si>
  <si>
    <r>
      <rPr>
        <sz val="11"/>
        <color rgb="FF000000"/>
        <rFont val="맑은 고딕"/>
        <family val="3"/>
        <charset val="129"/>
      </rPr>
      <t>비원즈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피토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콜라겐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아이세럼스틱</t>
    </r>
    <r>
      <rPr>
        <sz val="11"/>
        <color rgb="FF000000"/>
        <rFont val="Arial"/>
        <family val="3"/>
      </rPr>
      <t xml:space="preserve"> 15ml</t>
    </r>
    <phoneticPr fontId="2" type="noConversion"/>
  </si>
  <si>
    <r>
      <rPr>
        <sz val="11"/>
        <color rgb="FF000000"/>
        <rFont val="맑은 고딕"/>
        <family val="3"/>
        <charset val="129"/>
      </rPr>
      <t>히말라야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핑크솔트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담은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칫솔</t>
    </r>
    <phoneticPr fontId="2" type="noConversion"/>
  </si>
  <si>
    <r>
      <rPr>
        <sz val="11"/>
        <color rgb="FF000000"/>
        <rFont val="맑은 고딕"/>
        <family val="3"/>
        <charset val="129"/>
      </rPr>
      <t>후레쉬베리</t>
    </r>
    <r>
      <rPr>
        <sz val="11"/>
        <color rgb="FF000000"/>
        <rFont val="Arial"/>
        <family val="3"/>
      </rPr>
      <t xml:space="preserve"> 6</t>
    </r>
    <r>
      <rPr>
        <sz val="11"/>
        <color rgb="FF000000"/>
        <rFont val="맑은 고딕"/>
        <family val="3"/>
        <charset val="129"/>
      </rPr>
      <t>개입</t>
    </r>
    <phoneticPr fontId="2" type="noConversion"/>
  </si>
  <si>
    <r>
      <rPr>
        <sz val="11"/>
        <color rgb="FF000000"/>
        <rFont val="맑은 고딕"/>
        <family val="3"/>
        <charset val="129"/>
      </rPr>
      <t>화이트쿠키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빼뺴로</t>
    </r>
    <phoneticPr fontId="2" type="noConversion"/>
  </si>
  <si>
    <r>
      <rPr>
        <sz val="11"/>
        <color rgb="FF000000"/>
        <rFont val="맑은 고딕"/>
        <family val="3"/>
        <charset val="129"/>
      </rPr>
      <t>정관장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홍삼보운</t>
    </r>
    <r>
      <rPr>
        <sz val="11"/>
        <color rgb="FF000000"/>
        <rFont val="Arial"/>
        <family val="3"/>
      </rPr>
      <t xml:space="preserve"> 40ml x 30</t>
    </r>
    <r>
      <rPr>
        <sz val="11"/>
        <color rgb="FF000000"/>
        <rFont val="맑은 고딕"/>
        <family val="3"/>
        <charset val="129"/>
      </rPr>
      <t>개입</t>
    </r>
    <phoneticPr fontId="2" type="noConversion"/>
  </si>
  <si>
    <r>
      <rPr>
        <sz val="11"/>
        <color rgb="FF000000"/>
        <rFont val="맑은 고딕"/>
        <family val="3"/>
        <charset val="129"/>
      </rPr>
      <t>해피바스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오리지널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컬렉션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바디워시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체리블로섬향</t>
    </r>
    <r>
      <rPr>
        <sz val="11"/>
        <color rgb="FF000000"/>
        <rFont val="Arial"/>
        <family val="3"/>
      </rPr>
      <t>, 910g</t>
    </r>
    <phoneticPr fontId="2" type="noConversion"/>
  </si>
  <si>
    <r>
      <rPr>
        <sz val="11"/>
        <color rgb="FF000000"/>
        <rFont val="맑은 고딕"/>
        <family val="3"/>
        <charset val="129"/>
      </rPr>
      <t>듀이트리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울트라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바이탈라이징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스네일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에멀전</t>
    </r>
    <r>
      <rPr>
        <sz val="11"/>
        <color rgb="FF000000"/>
        <rFont val="Arial"/>
        <family val="2"/>
        <scheme val="minor"/>
      </rPr>
      <t>, 150ml</t>
    </r>
    <phoneticPr fontId="2" type="noConversion"/>
  </si>
  <si>
    <r>
      <rPr>
        <sz val="11"/>
        <color rgb="FF000000"/>
        <rFont val="맑은 고딕"/>
        <family val="3"/>
        <charset val="129"/>
      </rPr>
      <t>동원참치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라이트스탠다드</t>
    </r>
    <r>
      <rPr>
        <sz val="11"/>
        <color rgb="FF000000"/>
        <rFont val="Arial"/>
        <family val="3"/>
      </rPr>
      <t xml:space="preserve"> 4</t>
    </r>
    <r>
      <rPr>
        <sz val="11"/>
        <color rgb="FF000000"/>
        <rFont val="맑은 고딕"/>
        <family val="3"/>
        <charset val="129"/>
      </rPr>
      <t>개</t>
    </r>
    <r>
      <rPr>
        <sz val="11"/>
        <color rgb="FF000000"/>
        <rFont val="Arial"/>
        <family val="2"/>
        <scheme val="minor"/>
      </rPr>
      <t xml:space="preserve"> 90g</t>
    </r>
    <phoneticPr fontId="2" type="noConversion"/>
  </si>
  <si>
    <r>
      <rPr>
        <sz val="11"/>
        <color rgb="FF000000"/>
        <rFont val="맑은 고딕"/>
        <family val="3"/>
        <charset val="129"/>
      </rPr>
      <t>동원참치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고추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참치 4개</t>
    </r>
    <r>
      <rPr>
        <sz val="11"/>
        <color rgb="FF000000"/>
        <rFont val="Arial"/>
        <family val="3"/>
      </rPr>
      <t xml:space="preserve"> 90g</t>
    </r>
    <phoneticPr fontId="2" type="noConversion"/>
  </si>
  <si>
    <r>
      <rPr>
        <sz val="11"/>
        <color rgb="FF000000"/>
        <rFont val="맑은 고딕"/>
        <family val="3"/>
        <charset val="129"/>
      </rPr>
      <t>몽쉘카카오케이크</t>
    </r>
    <r>
      <rPr>
        <sz val="11"/>
        <color rgb="FF000000"/>
        <rFont val="Arial"/>
        <family val="3"/>
      </rPr>
      <t xml:space="preserve"> 6</t>
    </r>
    <r>
      <rPr>
        <sz val="11"/>
        <color rgb="FF000000"/>
        <rFont val="맑은 고딕"/>
        <family val="3"/>
        <charset val="129"/>
      </rPr>
      <t>개입</t>
    </r>
    <phoneticPr fontId="2" type="noConversion"/>
  </si>
  <si>
    <r>
      <rPr>
        <sz val="11"/>
        <color rgb="FF000000"/>
        <rFont val="맑은 고딕"/>
        <family val="3"/>
        <charset val="129"/>
      </rPr>
      <t>밀키스제로</t>
    </r>
    <r>
      <rPr>
        <sz val="11"/>
        <color rgb="FF000000"/>
        <rFont val="Arial"/>
        <family val="3"/>
      </rPr>
      <t xml:space="preserve"> 250ml</t>
    </r>
    <phoneticPr fontId="2" type="noConversion"/>
  </si>
  <si>
    <r>
      <rPr>
        <sz val="11"/>
        <color rgb="FF000000"/>
        <rFont val="맑은 고딕"/>
        <family val="3"/>
        <charset val="129"/>
      </rPr>
      <t>자민경크레마카발로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오일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투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폼</t>
    </r>
    <r>
      <rPr>
        <sz val="11"/>
        <color rgb="FF000000"/>
        <rFont val="Arial"/>
        <family val="3"/>
      </rPr>
      <t xml:space="preserve"> 110ml(</t>
    </r>
    <r>
      <rPr>
        <sz val="11"/>
        <color rgb="FF000000"/>
        <rFont val="맑은 고딕"/>
        <family val="3"/>
        <charset val="129"/>
      </rPr>
      <t>클렌징폼</t>
    </r>
    <r>
      <rPr>
        <sz val="11"/>
        <color rgb="FF000000"/>
        <rFont val="Arial"/>
        <family val="3"/>
      </rPr>
      <t>)</t>
    </r>
    <phoneticPr fontId="2" type="noConversion"/>
  </si>
  <si>
    <r>
      <rPr>
        <sz val="11"/>
        <color rgb="FF000000"/>
        <rFont val="맑은 고딕"/>
        <family val="3"/>
        <charset val="129"/>
      </rPr>
      <t>쟈뎅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아워티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콤푸차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자몽</t>
    </r>
    <r>
      <rPr>
        <sz val="11"/>
        <color rgb="FF000000"/>
        <rFont val="Arial"/>
        <family val="2"/>
        <scheme val="minor"/>
      </rPr>
      <t xml:space="preserve"> 10p</t>
    </r>
    <phoneticPr fontId="2" type="noConversion"/>
  </si>
  <si>
    <r>
      <rPr>
        <sz val="11"/>
        <color rgb="FF000000"/>
        <rFont val="맑은 고딕"/>
        <family val="3"/>
        <charset val="129"/>
      </rPr>
      <t>제주앤팜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레몬차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스틱</t>
    </r>
    <r>
      <rPr>
        <sz val="11"/>
        <color rgb="FF000000"/>
        <rFont val="Arial"/>
        <family val="3"/>
      </rPr>
      <t xml:space="preserve"> 10p</t>
    </r>
    <phoneticPr fontId="2" type="noConversion"/>
  </si>
  <si>
    <r>
      <rPr>
        <sz val="11"/>
        <color rgb="FF000000"/>
        <rFont val="맑은 고딕"/>
        <family val="3"/>
        <charset val="129"/>
      </rPr>
      <t>제주앤팜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한라봉차</t>
    </r>
    <r>
      <rPr>
        <sz val="11"/>
        <color rgb="FF000000"/>
        <rFont val="Arial"/>
        <family val="2"/>
        <scheme val="minor"/>
      </rPr>
      <t xml:space="preserve"> 10p</t>
    </r>
    <phoneticPr fontId="2" type="noConversion"/>
  </si>
  <si>
    <r>
      <rPr>
        <sz val="11"/>
        <color rgb="FF000000"/>
        <rFont val="맑은 고딕"/>
        <family val="3"/>
        <charset val="129"/>
      </rPr>
      <t>프링글스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오리지날</t>
    </r>
    <phoneticPr fontId="2" type="noConversion"/>
  </si>
  <si>
    <t>프링글스 양파맛</t>
    <phoneticPr fontId="2" type="noConversion"/>
  </si>
  <si>
    <r>
      <rPr>
        <sz val="11"/>
        <color rgb="FF000000"/>
        <rFont val="맑은 고딕"/>
        <family val="3"/>
        <charset val="129"/>
      </rPr>
      <t>백설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자일로스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설탕</t>
    </r>
    <r>
      <rPr>
        <sz val="11"/>
        <color rgb="FF000000"/>
        <rFont val="Arial"/>
        <family val="3"/>
      </rPr>
      <t xml:space="preserve"> 1kg</t>
    </r>
    <phoneticPr fontId="2" type="noConversion"/>
  </si>
  <si>
    <r>
      <rPr>
        <sz val="11"/>
        <color rgb="FF000000"/>
        <rFont val="맑은 고딕"/>
        <family val="3"/>
        <charset val="129"/>
      </rPr>
      <t>백설</t>
    </r>
    <r>
      <rPr>
        <sz val="11"/>
        <color rgb="FF000000"/>
        <rFont val="Arial"/>
        <family val="3"/>
        <charset val="129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찍어먹는</t>
    </r>
    <r>
      <rPr>
        <sz val="11"/>
        <color rgb="FF000000"/>
        <rFont val="Arial"/>
        <family val="3"/>
        <charset val="129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트러플</t>
    </r>
    <r>
      <rPr>
        <sz val="11"/>
        <color rgb="FF000000"/>
        <rFont val="Arial"/>
        <family val="3"/>
        <charset val="129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솔트</t>
    </r>
    <r>
      <rPr>
        <sz val="11"/>
        <color rgb="FF000000"/>
        <rFont val="Arial"/>
        <family val="3"/>
        <charset val="129"/>
        <scheme val="minor"/>
      </rPr>
      <t xml:space="preserve"> 50g</t>
    </r>
    <phoneticPr fontId="2" type="noConversion"/>
  </si>
  <si>
    <r>
      <rPr>
        <sz val="11"/>
        <color rgb="FF000000"/>
        <rFont val="맑은 고딕"/>
        <family val="3"/>
        <charset val="129"/>
      </rPr>
      <t>봉편촌메밀국수</t>
    </r>
    <r>
      <rPr>
        <sz val="11"/>
        <color rgb="FF000000"/>
        <rFont val="Arial"/>
        <family val="3"/>
      </rPr>
      <t>2</t>
    </r>
    <r>
      <rPr>
        <sz val="11"/>
        <color rgb="FF000000"/>
        <rFont val="맑은 고딕"/>
        <family val="3"/>
        <charset val="129"/>
      </rPr>
      <t>호</t>
    </r>
    <r>
      <rPr>
        <sz val="11"/>
        <color rgb="FF000000"/>
        <rFont val="Arial"/>
        <family val="3"/>
      </rPr>
      <t xml:space="preserve"> 850g</t>
    </r>
    <phoneticPr fontId="2" type="noConversion"/>
  </si>
  <si>
    <r>
      <rPr>
        <sz val="11"/>
        <color rgb="FF000000"/>
        <rFont val="맑은 고딕"/>
        <family val="3"/>
        <charset val="129"/>
      </rPr>
      <t>부케가르니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나드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샴푸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시그니처</t>
    </r>
    <r>
      <rPr>
        <sz val="11"/>
        <color rgb="FF000000"/>
        <rFont val="Arial"/>
        <family val="3"/>
      </rPr>
      <t xml:space="preserve"> 500ml</t>
    </r>
    <phoneticPr fontId="2" type="noConversion"/>
  </si>
  <si>
    <r>
      <rPr>
        <sz val="11"/>
        <color rgb="FF000000"/>
        <rFont val="맑은 고딕"/>
        <family val="3"/>
        <charset val="129"/>
      </rPr>
      <t>뷰카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클래식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고불소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구취케어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치약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아쿠아민트향</t>
    </r>
    <r>
      <rPr>
        <sz val="11"/>
        <color rgb="FF000000"/>
        <rFont val="Arial"/>
        <family val="3"/>
      </rPr>
      <t xml:space="preserve"> 210g 4</t>
    </r>
    <r>
      <rPr>
        <sz val="11"/>
        <color rgb="FF000000"/>
        <rFont val="맑은 고딕"/>
        <family val="3"/>
        <charset val="129"/>
      </rPr>
      <t>개</t>
    </r>
    <phoneticPr fontId="2" type="noConversion"/>
  </si>
  <si>
    <r>
      <rPr>
        <sz val="11"/>
        <color rgb="FF000000"/>
        <rFont val="맑은 고딕"/>
        <family val="3"/>
        <charset val="129"/>
      </rPr>
      <t>빼빼로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오리지널</t>
    </r>
    <phoneticPr fontId="2" type="noConversion"/>
  </si>
  <si>
    <r>
      <rPr>
        <sz val="11"/>
        <color rgb="FF000000"/>
        <rFont val="맑은 고딕"/>
        <family val="3"/>
        <charset val="129"/>
      </rPr>
      <t>센텔리안</t>
    </r>
    <r>
      <rPr>
        <sz val="11"/>
        <color rgb="FF000000"/>
        <rFont val="Arial"/>
        <family val="3"/>
      </rPr>
      <t xml:space="preserve"> 24 </t>
    </r>
    <r>
      <rPr>
        <sz val="11"/>
        <color rgb="FF000000"/>
        <rFont val="맑은 고딕"/>
        <family val="3"/>
        <charset val="129"/>
      </rPr>
      <t>마데카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베리어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바디로션</t>
    </r>
    <r>
      <rPr>
        <sz val="11"/>
        <color rgb="FF000000"/>
        <rFont val="Arial"/>
        <family val="3"/>
      </rPr>
      <t xml:space="preserve"> 500ml</t>
    </r>
    <phoneticPr fontId="2" type="noConversion"/>
  </si>
  <si>
    <r>
      <rPr>
        <sz val="11"/>
        <color rgb="FF000000"/>
        <rFont val="맑은 고딕"/>
        <family val="3"/>
        <charset val="129"/>
      </rPr>
      <t>센텔리안</t>
    </r>
    <r>
      <rPr>
        <sz val="11"/>
        <color rgb="FF000000"/>
        <rFont val="Arial"/>
        <family val="3"/>
      </rPr>
      <t xml:space="preserve"> 24 </t>
    </r>
    <r>
      <rPr>
        <sz val="11"/>
        <color rgb="FF000000"/>
        <rFont val="맑은 고딕"/>
        <family val="3"/>
        <charset val="129"/>
      </rPr>
      <t>마데카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옴프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올인원</t>
    </r>
    <r>
      <rPr>
        <sz val="11"/>
        <color rgb="FF000000"/>
        <rFont val="Arial"/>
        <family val="3"/>
      </rPr>
      <t xml:space="preserve"> 125ml</t>
    </r>
    <phoneticPr fontId="2" type="noConversion"/>
  </si>
  <si>
    <r>
      <rPr>
        <sz val="11"/>
        <color rgb="FF000000"/>
        <rFont val="맑은 고딕"/>
        <family val="3"/>
        <charset val="129"/>
      </rPr>
      <t>센텔리안</t>
    </r>
    <r>
      <rPr>
        <sz val="11"/>
        <color rgb="FF000000"/>
        <rFont val="Arial"/>
        <family val="2"/>
        <scheme val="minor"/>
      </rPr>
      <t xml:space="preserve">24 </t>
    </r>
    <r>
      <rPr>
        <sz val="11"/>
        <color rgb="FF000000"/>
        <rFont val="맑은 고딕"/>
        <family val="3"/>
        <charset val="129"/>
      </rPr>
      <t>링클셀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코어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아이크림</t>
    </r>
    <phoneticPr fontId="2" type="noConversion"/>
  </si>
  <si>
    <r>
      <rPr>
        <sz val="11"/>
        <color rgb="FF000000"/>
        <rFont val="맑은 고딕"/>
        <family val="3"/>
        <charset val="129"/>
      </rPr>
      <t>하이뮨</t>
    </r>
    <r>
      <rPr>
        <sz val="11"/>
        <color rgb="FF000000"/>
        <rFont val="Arial"/>
        <family val="3"/>
        <charset val="129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프로틴</t>
    </r>
    <r>
      <rPr>
        <sz val="11"/>
        <color rgb="FF000000"/>
        <rFont val="Arial"/>
        <family val="3"/>
        <charset val="129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밸런스</t>
    </r>
    <phoneticPr fontId="2" type="noConversion"/>
  </si>
  <si>
    <r>
      <rPr>
        <sz val="11"/>
        <color rgb="FF000000"/>
        <rFont val="맑은 고딕"/>
        <family val="3"/>
        <charset val="129"/>
      </rPr>
      <t>이클립스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쿨링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소프트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캔디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레몬민트향</t>
    </r>
    <r>
      <rPr>
        <sz val="11"/>
        <color rgb="FF000000"/>
        <rFont val="Arial"/>
        <family val="3"/>
      </rPr>
      <t xml:space="preserve"> 45g</t>
    </r>
    <phoneticPr fontId="2" type="noConversion"/>
  </si>
  <si>
    <r>
      <rPr>
        <sz val="11"/>
        <color rgb="FF000000"/>
        <rFont val="맑은 고딕"/>
        <family val="3"/>
        <charset val="129"/>
      </rPr>
      <t>콘트라베이스디카페인블랙</t>
    </r>
    <r>
      <rPr>
        <sz val="11"/>
        <color rgb="FF000000"/>
        <rFont val="Arial"/>
        <family val="3"/>
      </rPr>
      <t xml:space="preserve"> 500ml</t>
    </r>
    <phoneticPr fontId="2" type="noConversion"/>
  </si>
  <si>
    <r>
      <rPr>
        <sz val="11"/>
        <color rgb="FF000000"/>
        <rFont val="맑은 고딕"/>
        <family val="3"/>
        <charset val="129"/>
      </rPr>
      <t>셀퓨전씨</t>
    </r>
    <r>
      <rPr>
        <sz val="11"/>
        <color rgb="FF000000"/>
        <rFont val="Arial"/>
        <family val="3"/>
        <charset val="129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데일리</t>
    </r>
    <r>
      <rPr>
        <sz val="11"/>
        <color rgb="FF000000"/>
        <rFont val="Arial"/>
        <family val="3"/>
        <charset val="129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리페어</t>
    </r>
    <r>
      <rPr>
        <sz val="11"/>
        <color rgb="FF000000"/>
        <rFont val="Arial"/>
        <family val="3"/>
        <charset val="129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레이저크림</t>
    </r>
    <r>
      <rPr>
        <sz val="11"/>
        <color rgb="FF000000"/>
        <rFont val="Arial"/>
        <family val="3"/>
        <charset val="129"/>
        <scheme val="minor"/>
      </rPr>
      <t xml:space="preserve"> 50ml</t>
    </r>
    <phoneticPr fontId="2" type="noConversion"/>
  </si>
  <si>
    <r>
      <rPr>
        <sz val="11"/>
        <color rgb="FF000000"/>
        <rFont val="맑은 고딕"/>
        <family val="3"/>
        <charset val="129"/>
      </rPr>
      <t>셀퓨젼시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카밍다운크림</t>
    </r>
    <r>
      <rPr>
        <sz val="11"/>
        <color rgb="FF000000"/>
        <rFont val="Arial"/>
        <family val="3"/>
      </rPr>
      <t xml:space="preserve"> 35ml</t>
    </r>
    <phoneticPr fontId="2" type="noConversion"/>
  </si>
  <si>
    <r>
      <rPr>
        <sz val="11"/>
        <color rgb="FF000000"/>
        <rFont val="맑은 고딕"/>
        <family val="3"/>
        <charset val="129"/>
      </rPr>
      <t>스킨유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이노센트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컴포티우디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샤워젤</t>
    </r>
    <r>
      <rPr>
        <sz val="11"/>
        <color rgb="FF000000"/>
        <rFont val="Arial"/>
        <family val="3"/>
      </rPr>
      <t xml:space="preserve"> 500ml</t>
    </r>
    <phoneticPr fontId="2" type="noConversion"/>
  </si>
  <si>
    <r>
      <rPr>
        <sz val="11"/>
        <color rgb="FF000000"/>
        <rFont val="맑은 고딕"/>
        <family val="3"/>
        <charset val="129"/>
      </rPr>
      <t>스페셜</t>
    </r>
    <r>
      <rPr>
        <sz val="11"/>
        <color rgb="FF000000"/>
        <rFont val="Arial"/>
        <family val="3"/>
      </rPr>
      <t xml:space="preserve">k </t>
    </r>
    <r>
      <rPr>
        <sz val="11"/>
        <color rgb="FF000000"/>
        <rFont val="맑은 고딕"/>
        <family val="3"/>
        <charset val="129"/>
      </rPr>
      <t>오리지날</t>
    </r>
    <r>
      <rPr>
        <sz val="11"/>
        <color rgb="FF000000"/>
        <rFont val="Arial"/>
        <family val="3"/>
      </rPr>
      <t xml:space="preserve"> 480g</t>
    </r>
    <phoneticPr fontId="2" type="noConversion"/>
  </si>
  <si>
    <r>
      <rPr>
        <sz val="11"/>
        <color rgb="FF000000"/>
        <rFont val="맑은 고딕"/>
        <family val="3"/>
        <charset val="129"/>
      </rPr>
      <t>아비브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수분초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콜라겐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젤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마스크팩</t>
    </r>
    <phoneticPr fontId="2" type="noConversion"/>
  </si>
  <si>
    <r>
      <rPr>
        <sz val="11"/>
        <color rgb="FF000000"/>
        <rFont val="맑은 고딕"/>
        <family val="3"/>
        <charset val="129"/>
      </rPr>
      <t>아비브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아크네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폼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클렌저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어성초</t>
    </r>
    <r>
      <rPr>
        <sz val="11"/>
        <color rgb="FF000000"/>
        <rFont val="Arial"/>
        <family val="3"/>
      </rPr>
      <t xml:space="preserve"> 150ml</t>
    </r>
    <phoneticPr fontId="2" type="noConversion"/>
  </si>
  <si>
    <r>
      <rPr>
        <sz val="11"/>
        <color rgb="FF000000"/>
        <rFont val="맑은 고딕"/>
        <family val="3"/>
        <charset val="129"/>
      </rPr>
      <t>아비브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약산성</t>
    </r>
    <r>
      <rPr>
        <sz val="11"/>
        <color rgb="FF000000"/>
        <rFont val="Arial"/>
        <family val="2"/>
        <scheme val="minor"/>
      </rPr>
      <t xml:space="preserve"> pH </t>
    </r>
    <r>
      <rPr>
        <sz val="11"/>
        <color rgb="FF000000"/>
        <rFont val="맑은 고딕"/>
        <family val="3"/>
        <charset val="129"/>
      </rPr>
      <t>시트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마스크</t>
    </r>
    <phoneticPr fontId="2" type="noConversion"/>
  </si>
  <si>
    <r>
      <rPr>
        <sz val="11"/>
        <color rgb="FF000000"/>
        <rFont val="맑은 고딕"/>
        <family val="3"/>
        <charset val="129"/>
      </rPr>
      <t>아비브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어성초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에센스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카밍펌프</t>
    </r>
    <r>
      <rPr>
        <sz val="11"/>
        <color rgb="FF000000"/>
        <rFont val="Arial"/>
        <family val="3"/>
      </rPr>
      <t xml:space="preserve"> 50ml</t>
    </r>
    <phoneticPr fontId="2" type="noConversion"/>
  </si>
  <si>
    <r>
      <rPr>
        <sz val="11"/>
        <color rgb="FF000000"/>
        <rFont val="맑은 고딕"/>
        <family val="3"/>
        <charset val="129"/>
      </rPr>
      <t>탑플롯젤리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망고맛</t>
    </r>
    <r>
      <rPr>
        <sz val="11"/>
        <color rgb="FF000000"/>
        <rFont val="Arial"/>
        <family val="3"/>
      </rPr>
      <t xml:space="preserve"> 320g</t>
    </r>
    <phoneticPr fontId="2" type="noConversion"/>
  </si>
  <si>
    <r>
      <rPr>
        <sz val="11"/>
        <color rgb="FF000000"/>
        <rFont val="맑은 고딕"/>
        <family val="3"/>
        <charset val="129"/>
      </rPr>
      <t>아이소이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인텐시브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리프팅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스팟</t>
    </r>
    <r>
      <rPr>
        <sz val="11"/>
        <color rgb="FF000000"/>
        <rFont val="Arial"/>
        <family val="3"/>
      </rPr>
      <t xml:space="preserve"> 25ml</t>
    </r>
    <phoneticPr fontId="2" type="noConversion"/>
  </si>
  <si>
    <r>
      <rPr>
        <sz val="11"/>
        <color rgb="FF000000"/>
        <rFont val="맑은 고딕"/>
        <family val="3"/>
        <charset val="129"/>
      </rPr>
      <t>액츠프리미엄젤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프레쉬</t>
    </r>
    <r>
      <rPr>
        <sz val="11"/>
        <color rgb="FF000000"/>
        <rFont val="Arial"/>
        <family val="3"/>
      </rPr>
      <t xml:space="preserve"> 2.7L</t>
    </r>
    <phoneticPr fontId="2" type="noConversion"/>
  </si>
  <si>
    <r>
      <rPr>
        <sz val="11"/>
        <color rgb="FF000000"/>
        <rFont val="맑은 고딕"/>
        <family val="3"/>
        <charset val="129"/>
      </rPr>
      <t>에코버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울세탁세제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허니듀</t>
    </r>
    <r>
      <rPr>
        <sz val="11"/>
        <color rgb="FF000000"/>
        <rFont val="Arial"/>
        <family val="3"/>
      </rPr>
      <t xml:space="preserve"> 750ml</t>
    </r>
    <phoneticPr fontId="2" type="noConversion"/>
  </si>
  <si>
    <r>
      <rPr>
        <sz val="11"/>
        <color rgb="FF000000"/>
        <rFont val="맑은 고딕"/>
        <family val="3"/>
        <charset val="129"/>
      </rPr>
      <t>이니스프리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시카밤</t>
    </r>
    <r>
      <rPr>
        <sz val="11"/>
        <color rgb="FF000000"/>
        <rFont val="Arial"/>
        <family val="3"/>
      </rPr>
      <t xml:space="preserve"> 40ml</t>
    </r>
    <phoneticPr fontId="2" type="noConversion"/>
  </si>
  <si>
    <r>
      <rPr>
        <sz val="11"/>
        <color rgb="FF000000"/>
        <rFont val="맑은 고딕"/>
        <family val="3"/>
        <charset val="129"/>
      </rPr>
      <t>짜파게티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만능소스</t>
    </r>
    <r>
      <rPr>
        <sz val="11"/>
        <color rgb="FF000000"/>
        <rFont val="Arial"/>
        <family val="3"/>
      </rPr>
      <t xml:space="preserve"> 280g</t>
    </r>
    <phoneticPr fontId="2" type="noConversion"/>
  </si>
  <si>
    <r>
      <rPr>
        <sz val="11"/>
        <color rgb="FF000000"/>
        <rFont val="맑은 고딕"/>
        <family val="3"/>
        <charset val="129"/>
      </rPr>
      <t>첵스초코</t>
    </r>
    <r>
      <rPr>
        <sz val="11"/>
        <color rgb="FF000000"/>
        <rFont val="Arial"/>
        <family val="3"/>
      </rPr>
      <t xml:space="preserve"> 570g</t>
    </r>
    <phoneticPr fontId="2" type="noConversion"/>
  </si>
  <si>
    <r>
      <rPr>
        <sz val="11"/>
        <color rgb="FF000000"/>
        <rFont val="맑은 고딕"/>
        <family val="3"/>
        <charset val="129"/>
      </rPr>
      <t>오리온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초코파이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정</t>
    </r>
    <r>
      <rPr>
        <sz val="11"/>
        <color rgb="FF000000"/>
        <rFont val="Arial"/>
        <family val="3"/>
      </rPr>
      <t xml:space="preserve"> 468g</t>
    </r>
    <phoneticPr fontId="2" type="noConversion"/>
  </si>
  <si>
    <r>
      <rPr>
        <sz val="11"/>
        <color rgb="FF000000"/>
        <rFont val="맑은 고딕"/>
        <family val="3"/>
        <charset val="129"/>
      </rPr>
      <t>케라시스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러블리앤로맨틱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퍼퓸샴푸</t>
    </r>
    <r>
      <rPr>
        <sz val="11"/>
        <color rgb="FF000000"/>
        <rFont val="Arial"/>
        <family val="3"/>
      </rPr>
      <t xml:space="preserve"> 980ml</t>
    </r>
    <phoneticPr fontId="2" type="noConversion"/>
  </si>
  <si>
    <r>
      <rPr>
        <sz val="11"/>
        <color rgb="FF000000"/>
        <rFont val="맑은 고딕"/>
        <family val="3"/>
        <charset val="129"/>
      </rPr>
      <t>코오롱</t>
    </r>
    <r>
      <rPr>
        <sz val="11"/>
        <color rgb="FF000000"/>
        <rFont val="Arial"/>
        <family val="3"/>
        <charset val="129"/>
        <scheme val="minor"/>
      </rPr>
      <t xml:space="preserve"> ROKA </t>
    </r>
    <r>
      <rPr>
        <sz val="11"/>
        <color rgb="FF000000"/>
        <rFont val="맑은 고딕"/>
        <family val="3"/>
        <charset val="129"/>
      </rPr>
      <t>반팔티</t>
    </r>
    <phoneticPr fontId="2" type="noConversion"/>
  </si>
  <si>
    <r>
      <rPr>
        <sz val="11"/>
        <color rgb="FF000000"/>
        <rFont val="맑은 고딕"/>
        <family val="3"/>
        <charset val="129"/>
      </rPr>
      <t>코오롱</t>
    </r>
    <r>
      <rPr>
        <sz val="11"/>
        <color rgb="FF000000"/>
        <rFont val="Arial"/>
        <family val="3"/>
      </rPr>
      <t xml:space="preserve"> ROKA</t>
    </r>
    <r>
      <rPr>
        <sz val="11"/>
        <color rgb="FF000000"/>
        <rFont val="맑은 고딕"/>
        <family val="3"/>
        <charset val="129"/>
      </rPr>
      <t xml:space="preserve"> 반팔티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런닝</t>
    </r>
    <phoneticPr fontId="2" type="noConversion"/>
  </si>
  <si>
    <t>소스</t>
  </si>
  <si>
    <t>소스</t>
    <phoneticPr fontId="2" type="noConversion"/>
  </si>
  <si>
    <t>음료</t>
    <phoneticPr fontId="2" type="noConversion"/>
  </si>
  <si>
    <t>차</t>
    <phoneticPr fontId="2" type="noConversion"/>
  </si>
  <si>
    <t>차</t>
    <phoneticPr fontId="2" type="noConversion"/>
  </si>
  <si>
    <t>과자</t>
    <phoneticPr fontId="2" type="noConversion"/>
  </si>
  <si>
    <t>라면</t>
  </si>
  <si>
    <t>건강</t>
    <phoneticPr fontId="2" type="noConversion"/>
  </si>
  <si>
    <t>건강</t>
    <phoneticPr fontId="2" type="noConversion"/>
  </si>
  <si>
    <t>마스크팩</t>
    <phoneticPr fontId="2" type="noConversion"/>
  </si>
  <si>
    <t>폼클렌징</t>
    <phoneticPr fontId="2" type="noConversion"/>
  </si>
  <si>
    <t>기타</t>
    <phoneticPr fontId="2" type="noConversion"/>
  </si>
  <si>
    <t>영양크림</t>
    <phoneticPr fontId="2" type="noConversion"/>
  </si>
  <si>
    <t>아이크림</t>
    <phoneticPr fontId="2" type="noConversion"/>
  </si>
  <si>
    <t>면도기</t>
  </si>
  <si>
    <t>면도기</t>
    <phoneticPr fontId="2" type="noConversion"/>
  </si>
  <si>
    <t>식품</t>
    <phoneticPr fontId="2" type="noConversion"/>
  </si>
  <si>
    <t>구강</t>
  </si>
  <si>
    <t>구강</t>
    <phoneticPr fontId="2" type="noConversion"/>
  </si>
  <si>
    <t>세탁</t>
  </si>
  <si>
    <t>세탁</t>
    <phoneticPr fontId="2" type="noConversion"/>
  </si>
  <si>
    <t>두피</t>
  </si>
  <si>
    <t>두피</t>
    <phoneticPr fontId="2" type="noConversion"/>
  </si>
  <si>
    <t>바디</t>
  </si>
  <si>
    <t>의류</t>
  </si>
  <si>
    <t>의류</t>
    <phoneticPr fontId="2" type="noConversion"/>
  </si>
  <si>
    <t>디퓨저</t>
    <phoneticPr fontId="2" type="noConversion"/>
  </si>
  <si>
    <t>ITEM_TYPE_CODE</t>
    <phoneticPr fontId="2" type="noConversion"/>
  </si>
  <si>
    <t>ITEM_DTL_TYPE_CODE</t>
    <phoneticPr fontId="2" type="noConversion"/>
  </si>
  <si>
    <t>분류 코드</t>
    <phoneticPr fontId="2" type="noConversion"/>
  </si>
  <si>
    <t>"01"</t>
  </si>
  <si>
    <t>"0101"</t>
  </si>
  <si>
    <t>"0102"</t>
  </si>
  <si>
    <t>"0103"</t>
  </si>
  <si>
    <t>"0104"</t>
  </si>
  <si>
    <t>"0105"</t>
  </si>
  <si>
    <t>"0106"</t>
  </si>
  <si>
    <t>"0107"</t>
  </si>
  <si>
    <t>"0108"</t>
  </si>
  <si>
    <t>"0109"</t>
  </si>
  <si>
    <t>"0110"</t>
  </si>
  <si>
    <t>"0111"</t>
  </si>
  <si>
    <t>"02"</t>
  </si>
  <si>
    <t>"0201"</t>
  </si>
  <si>
    <t>"0202"</t>
  </si>
  <si>
    <t>"0203"</t>
  </si>
  <si>
    <t>"0204"</t>
  </si>
  <si>
    <t>"0205"</t>
  </si>
  <si>
    <t>"0206"</t>
  </si>
  <si>
    <t>"03"</t>
  </si>
  <si>
    <t>"0301"</t>
  </si>
  <si>
    <t>"0302"</t>
  </si>
  <si>
    <t>"0303"</t>
  </si>
  <si>
    <t>"0304"</t>
  </si>
  <si>
    <t>"0305"</t>
  </si>
  <si>
    <t>"0306"</t>
  </si>
  <si>
    <t>"0307"</t>
  </si>
  <si>
    <t>"0308"</t>
  </si>
  <si>
    <t>"ITEM_DTL_TYPE_CODE"</t>
    <phoneticPr fontId="14" type="noConversion"/>
  </si>
  <si>
    <t>쉐이크</t>
  </si>
  <si>
    <t>건강</t>
  </si>
  <si>
    <t>토너</t>
  </si>
  <si>
    <t>"과자"</t>
  </si>
  <si>
    <t>"음료"</t>
  </si>
  <si>
    <t>"즉석밥"</t>
  </si>
  <si>
    <t>"라면"</t>
  </si>
  <si>
    <t>"차"</t>
  </si>
  <si>
    <t>"캔디"</t>
  </si>
  <si>
    <t>"기타"</t>
  </si>
  <si>
    <t>"소세지"</t>
  </si>
  <si>
    <t>"쉐이크"</t>
  </si>
  <si>
    <t>"소스"</t>
  </si>
  <si>
    <t>"건강"</t>
  </si>
  <si>
    <t>"마스크팩"</t>
  </si>
  <si>
    <t>"선크림"</t>
  </si>
  <si>
    <t>"아이크림"</t>
  </si>
  <si>
    <t>"영양크림"</t>
  </si>
  <si>
    <t>"폼클렌징"</t>
  </si>
  <si>
    <t>"토너"</t>
  </si>
  <si>
    <t>"디퓨저"</t>
  </si>
  <si>
    <t>"세탁"</t>
  </si>
  <si>
    <t>"안마기"</t>
  </si>
  <si>
    <t>"면도기"</t>
  </si>
  <si>
    <t>"구강"</t>
  </si>
  <si>
    <t>"두피"</t>
  </si>
  <si>
    <t>"바디"</t>
  </si>
  <si>
    <t>"의류"</t>
  </si>
  <si>
    <t>물리명</t>
    <phoneticPr fontId="14" type="noConversion"/>
  </si>
  <si>
    <t>CODE_GROUP</t>
    <phoneticPr fontId="14" type="noConversion"/>
  </si>
  <si>
    <t>CODE_DETAIL</t>
    <phoneticPr fontId="14" type="noConversion"/>
  </si>
  <si>
    <t>CODE_DETAIL_NM</t>
    <phoneticPr fontId="14" type="noConversion"/>
  </si>
  <si>
    <t>MODIFY_YN</t>
  </si>
  <si>
    <t>DETAIL_ORDER</t>
  </si>
  <si>
    <t>FST_REG_SEQ</t>
  </si>
  <si>
    <t>LST_UPD_SEQ</t>
  </si>
  <si>
    <t>논리명</t>
    <phoneticPr fontId="14" type="noConversion"/>
  </si>
  <si>
    <t>코드그룹</t>
    <phoneticPr fontId="14" type="noConversion"/>
  </si>
  <si>
    <t>코드상세</t>
    <phoneticPr fontId="14" type="noConversion"/>
  </si>
  <si>
    <t>코드상세명</t>
    <phoneticPr fontId="14" type="noConversion"/>
  </si>
  <si>
    <t>코드수정가능여부</t>
  </si>
  <si>
    <t>코드상세정렬순서</t>
    <phoneticPr fontId="14" type="noConversion"/>
  </si>
  <si>
    <t>최초등록자일련번호</t>
  </si>
  <si>
    <t>최종수정자일련번호</t>
  </si>
  <si>
    <t>테이블</t>
    <phoneticPr fontId="14" type="noConversion"/>
  </si>
  <si>
    <t>TB_ITEM</t>
    <phoneticPr fontId="14" type="noConversion"/>
  </si>
  <si>
    <t>ITEM_SEQ</t>
  </si>
  <si>
    <t>ITEM_NM</t>
  </si>
  <si>
    <t>ITEM_TYPE_CODE</t>
  </si>
  <si>
    <t>ITEM_DTL_TYPE_CODE</t>
  </si>
  <si>
    <t>FST_REG_SEQ</t>
    <phoneticPr fontId="14" type="noConversion"/>
  </si>
  <si>
    <t>상품일련번호</t>
  </si>
  <si>
    <t>가격</t>
  </si>
  <si>
    <t>이미지</t>
  </si>
  <si>
    <t>상품 분류코드</t>
  </si>
  <si>
    <t>"캘리포니아센트 스필프루프 코로나도"</t>
  </si>
  <si>
    <t>"캘리포니아센트 스필프루프 코로나도.jpg"</t>
  </si>
  <si>
    <t>""</t>
  </si>
  <si>
    <t>"크런키 빼빼로"</t>
  </si>
  <si>
    <t>"키캣 4핑거"</t>
  </si>
  <si>
    <t>"탑플롯젤리 망고맛 320g"</t>
  </si>
  <si>
    <t>"틴인틴"</t>
  </si>
  <si>
    <t>"프링글스 오리지날"</t>
  </si>
  <si>
    <t>"피시스낵 스파이스맛"</t>
  </si>
  <si>
    <t>"핫식스더킹러쉬 355ml"</t>
  </si>
  <si>
    <t>"핫식스더킹크러쉬피치 355ml"</t>
  </si>
  <si>
    <t>"화이트쿠키 빼뺴로"</t>
  </si>
  <si>
    <t>"후레쉬베리 6개입"</t>
  </si>
  <si>
    <t>"질레트프로글라이드"</t>
  </si>
  <si>
    <t>"2080닥터크리닉잇몸치약(3개 묶음)"</t>
  </si>
  <si>
    <t>"AIR MESH 로카티 GMR904"</t>
  </si>
  <si>
    <t>"ROKA 반팔티"</t>
  </si>
  <si>
    <t>"고농축피죤 써니가든 1.6L"</t>
  </si>
  <si>
    <t>"고농축피죤 플라워페스티벌 2.3L"</t>
  </si>
  <si>
    <t>"2080 덴탈크리닉 뉴샤이닝 화이트 치약, 140g"</t>
  </si>
  <si>
    <t>"스팀베이스 데일리 아이마스크 라벤더향, 14매입"</t>
  </si>
  <si>
    <t>"라보에이치 프로바이오틱스 탈모증상완화 샴푸 두피쿨링, 400ml"</t>
  </si>
  <si>
    <t>"려 흑운 모근강화 볼륨케어 샴푸, 500ml"</t>
  </si>
  <si>
    <t>"마데카메디패치스팟패피 51매"</t>
  </si>
  <si>
    <t>"메디안 미백과학 치약 플럼민트향"</t>
  </si>
  <si>
    <t>"불스원 그라스 디퓨저 코튼향(차량방향제)"</t>
  </si>
  <si>
    <t>"뷰카 클래식 고불소 구취케어 치약 아쿠아민트향 210g 4개"</t>
  </si>
  <si>
    <t>"비트 트리플액션 2.8L(일반)"</t>
  </si>
  <si>
    <t>"스킨유 이노센트 컴포티우디 샤워젤 500ml"</t>
  </si>
  <si>
    <t>"아워티 핑크리치 캐모마일티 8p"</t>
  </si>
  <si>
    <t>"액츠프리미엄젤 프레쉬 2.7L"</t>
  </si>
  <si>
    <t>"에코버 울세탁세제 허니듀 750ml"</t>
  </si>
  <si>
    <t>"엘지생활건강 히말라야 핑크솔트 담은 펌핑 치약 아이스 카밍 민트 285g"</t>
  </si>
  <si>
    <t>"왕고래밥볶음양념맛"</t>
  </si>
  <si>
    <t>"케라시스 러블리앤로맨틱 퍼퓸샴푸 980ml"</t>
  </si>
  <si>
    <t>"코오롱 ROKA 반팔티 런닝"</t>
  </si>
  <si>
    <t>"코오롱 ROKA 반팔티"</t>
  </si>
  <si>
    <t>"테크 특유취 제거 2.7L(일반용)"</t>
  </si>
  <si>
    <t>"티트리 퓨리파잉 토닉 100ml"</t>
  </si>
  <si>
    <t>"하이뮨 프로틴 밸런스"</t>
  </si>
  <si>
    <t>"히말라야 핑크솔트 담은 칫솔"</t>
  </si>
  <si>
    <t>"듀이트리 울트라 바이탈라이징 스네일 에멀전, 150ml"</t>
  </si>
  <si>
    <t>틴인틴.jpg</t>
  </si>
  <si>
    <t>프링글스 오리지날.jpg</t>
  </si>
  <si>
    <t>피시스낵 스파이스맛.jpg</t>
  </si>
  <si>
    <t>핫식스더킹러쉬 355ml.jpg</t>
  </si>
  <si>
    <t>핫식스더킹크러쉬피치 355ml.jpg</t>
  </si>
  <si>
    <t>화이트쿠키 빼뺴로.jpg</t>
  </si>
  <si>
    <t>후레쉬베리 6개입.jpg</t>
  </si>
  <si>
    <t>질레트프로글라이드.jpg</t>
  </si>
  <si>
    <t>2080닥터크리닉잇몸치약(3개 묶음).jpg</t>
  </si>
  <si>
    <t>AIR MESH 로카티 GMR904.jpg</t>
  </si>
  <si>
    <t>ROKA 반팔티.jpg</t>
  </si>
  <si>
    <t>고농축피죤 써니가든 1.6L.jpg</t>
  </si>
  <si>
    <t>고농축피죤 플라워페스티벌 2.3L.jpg</t>
  </si>
  <si>
    <t>2080 덴탈크리닉 뉴샤이닝 화이트 치약, 140g.jpg</t>
  </si>
  <si>
    <t>스팀베이스 데일리 아이마스크 라벤더향, 14매입.jpg</t>
  </si>
  <si>
    <t>라보에이치 프로바이오틱스 탈모증상완화 샴푸 두피쿨링, 400ml.jpg</t>
  </si>
  <si>
    <t>려 흑운 모근강화 볼륨케어 샴푸, 500ml.jpg</t>
  </si>
  <si>
    <t>마데카메디패치스팟패피 51매.jpg</t>
  </si>
  <si>
    <t>메디안 미백과학 치약 플럼민트향.jpg</t>
  </si>
  <si>
    <t>불스원 그라스 디퓨저 코튼향(차량방향제).jpg</t>
  </si>
  <si>
    <t>뷰카 클래식 고불소 구취케어 치약 아쿠아민트향 210g 4개.jpg</t>
  </si>
  <si>
    <t>비트 트리플액션 2.8L(일반).jpg</t>
  </si>
  <si>
    <t>스킨유 이노센트 컴포티우디 샤워젤 500ml.jpg</t>
  </si>
  <si>
    <t>아워티 핑크리치 캐모마일티 8p.jpg</t>
  </si>
  <si>
    <t>액츠프리미엄젤 프레쉬 2.7L.jpg</t>
  </si>
  <si>
    <t>에코버 울세탁세제 허니듀 750ml.jpg</t>
  </si>
  <si>
    <t>엘지생활건강 히말라야 핑크솔트 담은 펌핑 치약 아이스 카밍 민트 285g.jpg</t>
  </si>
  <si>
    <t>왕고래밥볶음양념맛.jpg</t>
  </si>
  <si>
    <t>케라시스 러블리앤로맨틱 퍼퓸샴푸 980ml.jpg</t>
  </si>
  <si>
    <t>코오롱 ROKA 반팔티 런닝.jpg</t>
  </si>
  <si>
    <t>코오롱 ROKA 반팔티.jpg</t>
  </si>
  <si>
    <t>테크 특유취 제거 2.7L(일반용).jpg</t>
  </si>
  <si>
    <t>티트리 퓨리파잉 토닉 100ml.jpg</t>
  </si>
  <si>
    <t>하이뮨 프로틴 밸런스.jpg</t>
  </si>
  <si>
    <t>히말라야 핑크솔트 담은 칫솔.jpg</t>
  </si>
  <si>
    <t>듀이트리 울트라 바이탈라이징 스네일 에멀전, 150ml.jpg</t>
  </si>
  <si>
    <t>"틴인틴.jpg"</t>
  </si>
  <si>
    <t>"프링글스 오리지날.jpg"</t>
  </si>
  <si>
    <t>"피시스낵 스파이스맛.jpg"</t>
  </si>
  <si>
    <t>"핫식스더킹러쉬 355ml.jpg"</t>
  </si>
  <si>
    <t>"핫식스더킹크러쉬피치 355ml.jpg"</t>
  </si>
  <si>
    <t>"화이트쿠키 빼뺴로.jpg"</t>
  </si>
  <si>
    <t>"후레쉬베리 6개입.jpg"</t>
  </si>
  <si>
    <t>"질레트프로글라이드.jpg"</t>
  </si>
  <si>
    <t>"2080닥터크리닉잇몸치약(3개 묶음).jpg"</t>
  </si>
  <si>
    <t>"AIR MESH 로카티 GMR904.jpg"</t>
  </si>
  <si>
    <t>"ROKA 반팔티.jpg"</t>
  </si>
  <si>
    <t>"고농축피죤 써니가든 1.6L.jpg"</t>
  </si>
  <si>
    <t>"고농축피죤 플라워페스티벌 2.3L.jpg"</t>
  </si>
  <si>
    <t>"2080 덴탈크리닉 뉴샤이닝 화이트 치약, 140g.jpg"</t>
  </si>
  <si>
    <t>"스팀베이스 데일리 아이마스크 라벤더향, 14매입.jpg"</t>
  </si>
  <si>
    <t>"라보에이치 프로바이오틱스 탈모증상완화 샴푸 두피쿨링, 400ml.jpg"</t>
  </si>
  <si>
    <t>"려 흑운 모근강화 볼륨케어 샴푸, 500ml.jpg"</t>
  </si>
  <si>
    <t>"마데카메디패치스팟패피 51매.jpg"</t>
  </si>
  <si>
    <t>"메디안 미백과학 치약 플럼민트향.jpg"</t>
  </si>
  <si>
    <t>"불스원 그라스 디퓨저 코튼향(차량방향제).jpg"</t>
  </si>
  <si>
    <t>"뷰카 클래식 고불소 구취케어 치약 아쿠아민트향 210g 4개.jpg"</t>
  </si>
  <si>
    <t>"비트 트리플액션 2.8L(일반).jpg"</t>
  </si>
  <si>
    <t>"스킨유 이노센트 컴포티우디 샤워젤 500ml.jpg"</t>
  </si>
  <si>
    <t>"아워티 핑크리치 캐모마일티 8p.jpg"</t>
  </si>
  <si>
    <t>"액츠프리미엄젤 프레쉬 2.7L.jpg"</t>
  </si>
  <si>
    <t>"에코버 울세탁세제 허니듀 750ml.jpg"</t>
  </si>
  <si>
    <t>"엘지생활건강 히말라야 핑크솔트 담은 펌핑 치약 아이스 카밍 민트 285g.jpg"</t>
  </si>
  <si>
    <t>"왕고래밥볶음양념맛.jpg"</t>
  </si>
  <si>
    <t>"케라시스 러블리앤로맨틱 퍼퓸샴푸 980ml.jpg"</t>
  </si>
  <si>
    <t>"코오롱 ROKA 반팔티 런닝.jpg"</t>
  </si>
  <si>
    <t>"코오롱 ROKA 반팔티.jpg"</t>
  </si>
  <si>
    <t>"테크 특유취 제거 2.7L(일반용).jpg"</t>
  </si>
  <si>
    <t>"티트리 퓨리파잉 토닉 100ml.jpg"</t>
  </si>
  <si>
    <t>"하이뮨 프로틴 밸런스.jpg"</t>
  </si>
  <si>
    <t>"히말라야 핑크솔트 담은 칫솔.jpg"</t>
  </si>
  <si>
    <t>"듀이트리 울트라 바이탈라이징 스네일 에멀전, 150ml.jpg"</t>
  </si>
  <si>
    <t>"젠틀 디퓨저 블랙로즈"</t>
  </si>
  <si>
    <t>"에멜시 차량용 방향제 170ml 헤블린 오션"</t>
  </si>
  <si>
    <t>"그라스 디퓨저 105ml 블랙베리&amp;체리"</t>
  </si>
  <si>
    <t>"다우니 프리미엄 세탁세제 액체형 실내건조"</t>
  </si>
  <si>
    <t>"비트 마사지 건 HMS-12"</t>
  </si>
  <si>
    <t>"질레트 프로쉴드 옐로우 면도날 4입"</t>
  </si>
  <si>
    <t>"프링글스 양파맛"</t>
  </si>
  <si>
    <t>"프링글스 리치치즈갈릭"</t>
  </si>
  <si>
    <t>"프링글스 버터카라멜"</t>
  </si>
  <si>
    <t>"프링글스 핫앤스파이시"</t>
  </si>
  <si>
    <t>"키커바"</t>
  </si>
  <si>
    <t>"코주부 CLASSIC 육포 Mild 130g"</t>
  </si>
  <si>
    <t>"코주부 CLASSIC 육포 HOT &amp; SPICY 130g"</t>
  </si>
  <si>
    <t>"펩시제로슈거라임 500ml"</t>
  </si>
  <si>
    <t>"핫식스더킹파워 355ml"</t>
  </si>
  <si>
    <t>"몬스터에너지 울트라 355ml"</t>
  </si>
  <si>
    <t>"햇반 130g"</t>
  </si>
  <si>
    <t>"햇반 210g"</t>
  </si>
  <si>
    <t>"맛있는 오뚜기밥 210g"</t>
  </si>
  <si>
    <t>"햇반흑미밥 130g"</t>
  </si>
  <si>
    <t>"햇반 매일잡곡밥 210g"</t>
  </si>
  <si>
    <t>"오뚜기 컵누들 매콤한 맛"</t>
  </si>
  <si>
    <t>"쟈뎅 아워티 콤푸차 레몬 10p"</t>
  </si>
  <si>
    <t>"쟈뎅 아워티 콤푸차 베리 10p"</t>
  </si>
  <si>
    <t>"쟈뎅 아워티 콤푸차 자몽 10p"</t>
  </si>
  <si>
    <t>"박카스맛젤리"</t>
  </si>
  <si>
    <t>"이클립스 페퍼민트향 34g"</t>
  </si>
  <si>
    <t>"이클립스 피치향 34g"</t>
  </si>
  <si>
    <t>"맥스빌더"</t>
  </si>
  <si>
    <t>"롯데햄 키스틱 더블치즈 소시지"</t>
  </si>
  <si>
    <t>"키스틱"</t>
  </si>
  <si>
    <t>"퀘이커 마시는오트밀 오트&amp;그레인, 50g"</t>
  </si>
  <si>
    <t>"퀘이커 마시는 오트밀 오트&amp;우리쌀, 50g"</t>
  </si>
  <si>
    <t>"퀘이커 마시는 오트밀 단백질, 80g"</t>
  </si>
  <si>
    <t>"퀘이커 마시는 오트밀 찰옥수수, 50g"</t>
  </si>
  <si>
    <t>"SNP 골드 콜라겐 앰플 마스크"</t>
  </si>
  <si>
    <t>"메디힐 디엔에이 프로아틴 마스크"</t>
  </si>
  <si>
    <t>"닥터지 메디유브이 울트라 선 50ml"</t>
  </si>
  <si>
    <t>"AHC 내추럴 퍼펙션 프레쉬선스틱"</t>
  </si>
  <si>
    <t>"AHC프라이빗 리얼아이크림기프트세트"</t>
  </si>
  <si>
    <t>"마녀공장 비피다 바이옴 수분 장벽 강화 크림 기획세트"</t>
  </si>
  <si>
    <t>"이니스프리 퍼펙트9인텐시브 크림"</t>
  </si>
  <si>
    <t>"닥터지 로얄 블랙스네일 크림"</t>
  </si>
  <si>
    <t>"아이소이 탄력크림EX"</t>
  </si>
  <si>
    <t>"다이아몬드 리페어 퍼펙트 세트"</t>
  </si>
  <si>
    <t>"닥터지 레드 블레미쉬 모이스처 클렌징 폼"</t>
  </si>
  <si>
    <t>"뉴트로지나 딥클린 아크네 포밍"</t>
  </si>
  <si>
    <t>"닥터지 레드 블레미쉬 클리어 수딩 토너, 500ml"</t>
  </si>
  <si>
    <t>"데체코 올리오 엑스트라 버진 디 올리바, 1L"</t>
  </si>
  <si>
    <t>"바세린 리프팅 리페어 로션 450ml"</t>
  </si>
  <si>
    <t>"라운드랩 1025 독도 수분 워터겔 마스크 30ml"</t>
  </si>
  <si>
    <t>"메디힐 WHP 미백수분 블랙마스크"</t>
  </si>
  <si>
    <t>"니베아 맨 센서티브 쉐이빙 폼, 250ml"</t>
  </si>
  <si>
    <t>"부케가르니 나드 샴푸 시그니처 500ml"</t>
  </si>
  <si>
    <t>"비알티씨 파워 옴므 올인원 솔루션 기획세트 200ML+50ML"</t>
  </si>
  <si>
    <t>"비욘드 바디 디펜스 샤워 450ml"</t>
  </si>
  <si>
    <t>"비욘드 바디 디펜스 에멀전 450ml"</t>
  </si>
  <si>
    <t>"비원즈 피토 콜라겐 아이세럼스틱 15ml"</t>
  </si>
  <si>
    <t>"센카 퍼팩트 휩 페이셜 워시"</t>
  </si>
  <si>
    <t>"센텔리안 24 마데카 베리어 바디로션 500ml"</t>
  </si>
  <si>
    <t>"센텔리안 24 마데카 옴프 올인원 125ml"</t>
  </si>
  <si>
    <t>"센텔리안24 링클셀 코어 아이크림"</t>
  </si>
  <si>
    <t>"셀퓨전씨 데일리 리페어 레이저크림 50ml"</t>
  </si>
  <si>
    <t>"셀퓨젼시 카밍다운크림 35ml"</t>
  </si>
  <si>
    <t>"아누아 어성초 80 수분 진정 앰플"</t>
  </si>
  <si>
    <t>"아누아 어성초70 데일리 로션 200ml"</t>
  </si>
  <si>
    <t>"아비브 부활초 크림 뉴트리션 튜브"</t>
  </si>
  <si>
    <t>"아비브 수분초 콜라겐 젤 마스크팩"</t>
  </si>
  <si>
    <t>"아비브 아크네 폼 클렌저 어성초 150ml"</t>
  </si>
  <si>
    <t>"아비브 약산성 pH 시트 마스크"</t>
  </si>
  <si>
    <t>"아비브 어성초 에센스 카밍펌프 50ml"</t>
  </si>
  <si>
    <t>"아이브 부활초 크림 뉴트리션 튜브"</t>
  </si>
  <si>
    <t>"아이소이 블레미쉬 케어 업 크림"</t>
  </si>
  <si>
    <t>"아이소이 인텐시브 리프팅 스팟 25ml"</t>
  </si>
  <si>
    <t>"액티브 프로 바이오틱스"</t>
  </si>
  <si>
    <t>"이니스프리 시카밤 40ml"</t>
  </si>
  <si>
    <t>"자민경크레마카발로 오일 투 폼 110ml(클렌징폼)"</t>
  </si>
  <si>
    <t>"해피바스 오리지널 컬렉션 바디워시 체리블로섬향, 910g"</t>
  </si>
  <si>
    <t>"청정원 프리미엄 굴소스, 500g"</t>
  </si>
  <si>
    <t>"오뚜기 가쓰오부시장국, 360ml"</t>
  </si>
  <si>
    <t>"고소한 건강 생각 참기름"</t>
  </si>
  <si>
    <t>"까스활액"</t>
  </si>
  <si>
    <t>"꼬마웨하스바닐라맛"</t>
  </si>
  <si>
    <t>"꽃샘 피어나다 국화 유자, 350g"</t>
  </si>
  <si>
    <t>"꽃샘 피어나다 히비스커스 자몽, 350g"</t>
  </si>
  <si>
    <t>"꿀타이밍 야생화스틱15T"</t>
  </si>
  <si>
    <t>"나랑드사이다 245ml"</t>
  </si>
  <si>
    <t>"나랑드사이다 그린애플 245ml"</t>
  </si>
  <si>
    <t>"나랑드사이다 파인애플 245ml"</t>
  </si>
  <si>
    <t>"데미소다 복숭아, 250ml"</t>
  </si>
  <si>
    <t>"동원참치 고추 참치 4개 90g"</t>
  </si>
  <si>
    <t>"동원참치 라이트스탠다드 4개 90g"</t>
  </si>
  <si>
    <t>"크라운 NEW 롱스"</t>
  </si>
  <si>
    <t>"몽쉘카카오케이크 6개입"</t>
  </si>
  <si>
    <t>"밀키스제로 250ml"</t>
  </si>
  <si>
    <t>"박카스"</t>
  </si>
  <si>
    <t>"더프트앤도프트 파인 프라그란스 바디미스트 핑크브리즈향, 150ml"</t>
  </si>
  <si>
    <t>"닥터지 그린 마일드 업 선 스틱, 20g"</t>
  </si>
  <si>
    <t>"닥터자르트 바이탈 하이드라 솔루션 하이드로 플럼프 트리트먼트 에센스, 150ml"</t>
  </si>
  <si>
    <t>"듀이트리 울트라 바이탈라이징 스네일 에센스워터, 150ml"</t>
  </si>
  <si>
    <t>"정관장 홍삼보운 40ml x 30개입"</t>
  </si>
  <si>
    <t>"AHC 에이치 멜라 루트 크림(AHC 기미크림)"</t>
  </si>
  <si>
    <t>"닥터지 블랙 스네일크림, 50ml"</t>
  </si>
  <si>
    <t>"닥터지 더모이스처 배리어 D 로션, 200ml"</t>
  </si>
  <si>
    <t>"닥터지 레드 블레미쉬 클리어 크림, 70ml"</t>
  </si>
  <si>
    <t>"닥터지 로얄 블랙 스네일 탄력 스페셜 세트 (에센스 + 크림 + 아이크림 + 마스크팩)"</t>
  </si>
  <si>
    <t>"듀이트리 울트라 바이탈라이징 스네일 달팽이 3종 세트"</t>
  </si>
  <si>
    <t>"듀이트리 울트라 바이탈라이징 스네일 크림 80ml+샘플 10ml"</t>
  </si>
  <si>
    <t>"라운드랩 약콩 판테놀 크림, 80ml"</t>
  </si>
  <si>
    <t>"제주앤팜 레몬차 스틱 10p"</t>
  </si>
  <si>
    <t>"제주앤팜 한라봉차 10p"</t>
  </si>
  <si>
    <t>"이클립스 쿨링 소프트 캔디 레몬민트향 45g"</t>
  </si>
  <si>
    <t>"라운드랩 1025 독도 토너 대용량, 500ml"</t>
  </si>
  <si>
    <t>"마녀공장 퓨리파잉 소다폼, 150ml"</t>
  </si>
  <si>
    <t>"백설 자일로스 설탕 1kg"</t>
  </si>
  <si>
    <t>"백설 찍어먹는 트러플 솔트 50g"</t>
  </si>
  <si>
    <t>"봉편촌메밀국수2호 850g"</t>
  </si>
  <si>
    <t>"빼빼로 오리지널"</t>
  </si>
  <si>
    <t>"스페셜k 오리지날 480g"</t>
  </si>
  <si>
    <t>"아몬드 빼빼로"</t>
  </si>
  <si>
    <t>"아몬드초코볼"</t>
  </si>
  <si>
    <t>"아몬드푸레이크"</t>
  </si>
  <si>
    <t>"안성탕면"</t>
  </si>
  <si>
    <t>"엄마손파이"</t>
  </si>
  <si>
    <t>"졸음번쩍껌 울트라파워"</t>
  </si>
  <si>
    <t>"짜파게티 만능소스 280g"</t>
  </si>
  <si>
    <t>"첵스초코 570g"</t>
  </si>
  <si>
    <t>"초코틴인틴"</t>
  </si>
  <si>
    <t>"오리온 초코파이 정 468g"</t>
  </si>
  <si>
    <t>"칠성사이다제로(250ml)"</t>
  </si>
  <si>
    <t>"칠성사이다제로(500ml)"</t>
  </si>
  <si>
    <t>"콘트라베이스디카페인블랙 500ml"</t>
  </si>
  <si>
    <t>"쿠크다스케이크"</t>
  </si>
  <si>
    <t>"크라운산도딸기"</t>
  </si>
  <si>
    <t>캘리포니아센트 스필프루프 코로나도.jpg</t>
  </si>
  <si>
    <t>젠틀 디퓨저 블랙로즈.jpg</t>
  </si>
  <si>
    <t>에멜시 차량용 방향제 170ml 헤블린 오션.jpg</t>
  </si>
  <si>
    <t>그라스 디퓨저 105ml 블랙베리&amp;체리.jpg</t>
  </si>
  <si>
    <t>다우니 프리미엄 세탁세제 액체형 실내건조.jpg</t>
  </si>
  <si>
    <t>비트 마사지 건 HMS-12.jpg</t>
  </si>
  <si>
    <t>질레트 프로쉴드 옐로우 면도날 4입.jpg</t>
  </si>
  <si>
    <t>프링글스 양파맛.jpg</t>
  </si>
  <si>
    <t>프링글스 리치치즈갈릭.jpg</t>
  </si>
  <si>
    <t>프링글스 버터카라멜.jpg</t>
  </si>
  <si>
    <t>프링글스 핫앤스파이시.jpg</t>
  </si>
  <si>
    <t>키커바.jpg</t>
  </si>
  <si>
    <t>코주부 CLASSIC 육포 Mild 130g.jpg</t>
  </si>
  <si>
    <t>코주부 CLASSIC 육포 HOT &amp; SPICY 130g.jpg</t>
  </si>
  <si>
    <t>펩시제로슈거라임 500ml.jpg</t>
  </si>
  <si>
    <t>핫식스더킹파워 355ml.jpg</t>
  </si>
  <si>
    <t>몬스터에너지 울트라 355ml.jpg</t>
  </si>
  <si>
    <t>햇반 130g.jpg</t>
  </si>
  <si>
    <t>햇반 210g.jpg</t>
  </si>
  <si>
    <t>맛있는 오뚜기밥 210g.jpg</t>
  </si>
  <si>
    <t>햇반흑미밥 130g.jpg</t>
  </si>
  <si>
    <t>햇반 매일잡곡밥 210g.jpg</t>
  </si>
  <si>
    <t>오뚜기 컵누들 매콤한 맛.jpg</t>
  </si>
  <si>
    <t>쟈뎅 아워티 콤푸차 레몬 10p.jpg</t>
  </si>
  <si>
    <t>쟈뎅 아워티 콤푸차 베리 10p.jpg</t>
  </si>
  <si>
    <t>쟈뎅 아워티 콤푸차 자몽 10p.jpg</t>
  </si>
  <si>
    <t>박카스맛젤리.jpg</t>
  </si>
  <si>
    <t>이클립스 페퍼민트향 34g.jpg</t>
  </si>
  <si>
    <t>이클립스 피치향 34g.jpg</t>
  </si>
  <si>
    <t>맥스빌더.jpg</t>
  </si>
  <si>
    <t>롯데햄 키스틱 더블치즈 소시지.jpg</t>
  </si>
  <si>
    <t>키스틱.jpg</t>
  </si>
  <si>
    <t>퀘이커 마시는오트밀 오트&amp;그레인, 50g.jpg</t>
  </si>
  <si>
    <t>퀘이커 마시는 오트밀 오트&amp;우리쌀, 50g.jpg</t>
  </si>
  <si>
    <t>퀘이커 마시는 오트밀 단백질, 80g.jpg</t>
  </si>
  <si>
    <t>퀘이커 마시는 오트밀 찰옥수수, 50g.jpg</t>
  </si>
  <si>
    <t>SNP 골드 콜라겐 앰플 마스크.jpg</t>
  </si>
  <si>
    <t>메디힐 디엔에이 프로아틴 마스크.jpg</t>
  </si>
  <si>
    <t>닥터지 메디유브이 울트라 선 50ml.jpg</t>
  </si>
  <si>
    <t>AHC 내추럴 퍼펙션 프레쉬선스틱.jpg</t>
  </si>
  <si>
    <t>AHC프라이빗 리얼아이크림기프트세트.jpg</t>
  </si>
  <si>
    <t>마녀공장 비피다 바이옴 수분 장벽 강화 크림 기획세트.jpg</t>
  </si>
  <si>
    <t>이니스프리 퍼펙트9인텐시브 크림.jpg</t>
  </si>
  <si>
    <t>닥터지 로얄 블랙스네일 크림.jpg</t>
  </si>
  <si>
    <t>아이소이 탄력크림EX.jpg</t>
  </si>
  <si>
    <t>다이아몬드 리페어 퍼펙트 세트.jpg</t>
  </si>
  <si>
    <t>닥터지 레드 블레미쉬 모이스처 클렌징 폼.jpg</t>
  </si>
  <si>
    <t>뉴트로지나 딥클린 아크네 포밍.jpg</t>
  </si>
  <si>
    <t>닥터지 레드 블레미쉬 클리어 수딩 토너, 500ml.jpg</t>
  </si>
  <si>
    <t>데체코 올리오 엑스트라 버진 디 올리바, 1L.jpg</t>
  </si>
  <si>
    <t>바세린 리프팅 리페어 로션 450ml.jpg</t>
  </si>
  <si>
    <t>라운드랩 1025 독도 수분 워터겔 마스크 30ml.jpg</t>
  </si>
  <si>
    <t>메디힐 WHP 미백수분 블랙마스크.jpg</t>
  </si>
  <si>
    <t>니베아 맨 센서티브 쉐이빙 폼, 250ml.jpg</t>
  </si>
  <si>
    <t>부케가르니 나드 샴푸 시그니처 500ml.jpg</t>
  </si>
  <si>
    <t>비알티씨 파워 옴므 올인원 솔루션 기획세트 200ML+50ML.jpg</t>
  </si>
  <si>
    <t>비욘드 바디 디펜스 샤워 450ml.jpg</t>
  </si>
  <si>
    <t>비욘드 바디 디펜스 에멀전 450ml.jpg</t>
  </si>
  <si>
    <t>비원즈 피토 콜라겐 아이세럼스틱 15ml.jpg</t>
  </si>
  <si>
    <t>센카 퍼팩트 휩 페이셜 워시.jpg</t>
  </si>
  <si>
    <t>센텔리안 24 마데카 베리어 바디로션 500ml.jpg</t>
  </si>
  <si>
    <t>센텔리안 24 마데카 옴프 올인원 125ml.jpg</t>
  </si>
  <si>
    <t>센텔리안24 링클셀 코어 아이크림.jpg</t>
  </si>
  <si>
    <t>셀퓨전씨 데일리 리페어 레이저크림 50ml.jpg</t>
  </si>
  <si>
    <t>셀퓨젼시 카밍다운크림 35ml.jpg</t>
  </si>
  <si>
    <t>아누아 어성초 80 수분 진정 앰플.jpg</t>
  </si>
  <si>
    <t>아누아 어성초70 데일리 로션 200ml.jpg</t>
  </si>
  <si>
    <t>아비브 부활초 크림 뉴트리션 튜브.jpg</t>
  </si>
  <si>
    <t>아비브 수분초 콜라겐 젤 마스크팩.jpg</t>
  </si>
  <si>
    <t>아비브 아크네 폼 클렌저 어성초 150ml.jpg</t>
  </si>
  <si>
    <t>아비브 약산성 pH 시트 마스크.jpg</t>
  </si>
  <si>
    <t>아비브 어성초 에센스 카밍펌프 50ml.jpg</t>
  </si>
  <si>
    <t>아이브 부활초 크림 뉴트리션 튜브.jpg</t>
  </si>
  <si>
    <t>아이소이 블레미쉬 케어 업 크림.jpg</t>
  </si>
  <si>
    <t>아이소이 인텐시브 리프팅 스팟 25ml.jpg</t>
  </si>
  <si>
    <t>액티브 프로 바이오틱스.jpg</t>
  </si>
  <si>
    <t>이니스프리 시카밤 40ml.jpg</t>
  </si>
  <si>
    <t>자민경크레마카발로 오일 투 폼 110ml(클렌징폼).jpg</t>
  </si>
  <si>
    <t>해피바스 오리지널 컬렉션 바디워시 체리블로섬향, 910g.jpg</t>
  </si>
  <si>
    <t>청정원 프리미엄 굴소스, 500g.jpg</t>
  </si>
  <si>
    <t>오뚜기 가쓰오부시장국, 360ml.jpg</t>
  </si>
  <si>
    <t>고소한 건강 생각 참기름.jpg</t>
  </si>
  <si>
    <t>까스활액.jpg</t>
  </si>
  <si>
    <t>꼬마웨하스바닐라맛.jpg</t>
  </si>
  <si>
    <t>꽃샘 피어나다 국화 유자, 350g.jpg</t>
  </si>
  <si>
    <t>꽃샘 피어나다 히비스커스 자몽, 350g.jpg</t>
  </si>
  <si>
    <t>꿀타이밍 야생화스틱15T.jpg</t>
  </si>
  <si>
    <t>나랑드사이다 245ml.jpg</t>
  </si>
  <si>
    <t>나랑드사이다 그린애플 245ml.jpg</t>
  </si>
  <si>
    <t>나랑드사이다 파인애플 245ml.jpg</t>
  </si>
  <si>
    <t>데미소다 복숭아, 250ml.jpg</t>
  </si>
  <si>
    <t>동원참치 고추 참치 4개 90g.jpg</t>
  </si>
  <si>
    <t>동원참치 라이트스탠다드 4개 90g.jpg</t>
  </si>
  <si>
    <t>크라운 NEW 롱스.jpg</t>
  </si>
  <si>
    <t>몽쉘카카오케이크 6개입.jpg</t>
  </si>
  <si>
    <t>밀키스제로 250ml.jpg</t>
  </si>
  <si>
    <t>박카스.jpg</t>
  </si>
  <si>
    <t>더프트앤도프트 파인 프라그란스 바디미스트 핑크브리즈향, 150ml.jpg</t>
  </si>
  <si>
    <t>닥터지 그린 마일드 업 선 스틱, 20g.jpg</t>
  </si>
  <si>
    <t>닥터자르트 바이탈 하이드라 솔루션 하이드로 플럼프 트리트먼트 에센스, 150ml.jpg</t>
  </si>
  <si>
    <t>듀이트리 울트라 바이탈라이징 스네일 에센스워터, 150ml.jpg</t>
  </si>
  <si>
    <t>정관장 홍삼보운 40ml x 30개입.jpg</t>
  </si>
  <si>
    <t>AHC 에이치 멜라 루트 크림(AHC 기미크림).jpg</t>
  </si>
  <si>
    <t>닥터지 블랙 스네일크림, 50ml.jpg</t>
  </si>
  <si>
    <t>닥터지 더모이스처 배리어 D 로션, 200ml.jpg</t>
  </si>
  <si>
    <t>닥터지 레드 블레미쉬 클리어 크림, 70ml.jpg</t>
  </si>
  <si>
    <t>닥터지 로얄 블랙 스네일 탄력 스페셜 세트 (에센스 + 크림 + 아이크림 + 마스크팩).jpg</t>
  </si>
  <si>
    <t>듀이트리 울트라 바이탈라이징 스네일 달팽이 3종 세트.jpg</t>
  </si>
  <si>
    <t>듀이트리 울트라 바이탈라이징 스네일 크림 80ml+샘플 10ml.jpg</t>
  </si>
  <si>
    <t>라운드랩 약콩 판테놀 크림, 80ml.jpg</t>
  </si>
  <si>
    <t>제주앤팜 레몬차 스틱 10p.jpg</t>
  </si>
  <si>
    <t>제주앤팜 한라봉차 10p.jpg</t>
  </si>
  <si>
    <t>이클립스 쿨링 소프트 캔디 레몬민트향 45g.jpg</t>
  </si>
  <si>
    <t>라운드랩 1025 독도 토너 대용량, 500ml.jpg</t>
  </si>
  <si>
    <t>마녀공장 퓨리파잉 소다폼, 150ml.jpg</t>
  </si>
  <si>
    <t>백설 자일로스 설탕 1kg.jpg</t>
  </si>
  <si>
    <t>백설 찍어먹는 트러플 솔트 50g.jpg</t>
  </si>
  <si>
    <t>봉편촌메밀국수2호 850g.jpg</t>
  </si>
  <si>
    <t>빼빼로 오리지널.jpg</t>
  </si>
  <si>
    <t>스페셜k 오리지날 480g.jpg</t>
  </si>
  <si>
    <t>아몬드 빼빼로.jpg</t>
  </si>
  <si>
    <t>아몬드초코볼.jpg</t>
  </si>
  <si>
    <t>아몬드푸레이크.jpg</t>
  </si>
  <si>
    <t>안성탕면.jpg</t>
  </si>
  <si>
    <t>엄마손파이.jpg</t>
  </si>
  <si>
    <t>졸음번쩍껌 울트라파워.jpg</t>
  </si>
  <si>
    <t>짜파게티 만능소스 280g.jpg</t>
  </si>
  <si>
    <t>첵스초코 570g.jpg</t>
  </si>
  <si>
    <t>초코틴인틴.jpg</t>
  </si>
  <si>
    <t>오리온 초코파이 정 468g.jpg</t>
  </si>
  <si>
    <t>칠성사이다제로(250ml).jpg</t>
  </si>
  <si>
    <t>칠성사이다제로(500ml).jpg</t>
  </si>
  <si>
    <t>콘트라베이스디카페인블랙 500ml.jpg</t>
  </si>
  <si>
    <t>쿠크다스케이크.jpg</t>
  </si>
  <si>
    <t>크라운산도딸기.jpg</t>
  </si>
  <si>
    <t>크런키 빼빼로.jpg</t>
  </si>
  <si>
    <t>키캣 4핑거.jpg</t>
  </si>
  <si>
    <t>탑플롯젤리 망고맛 320g.jpg</t>
  </si>
  <si>
    <t>"젠틀 디퓨저 블랙로즈.jpg"</t>
  </si>
  <si>
    <t>"에멜시 차량용 방향제 170ml 헤블린 오션.jpg"</t>
  </si>
  <si>
    <t>"그라스 디퓨저 105ml 블랙베리&amp;체리.jpg"</t>
  </si>
  <si>
    <t>"다우니 프리미엄 세탁세제 액체형 실내건조.jpg"</t>
  </si>
  <si>
    <t>"비트 마사지 건 HMS-12.jpg"</t>
  </si>
  <si>
    <t>"질레트 프로쉴드 옐로우 면도날 4입.jpg"</t>
  </si>
  <si>
    <t>"프링글스 양파맛.jpg"</t>
  </si>
  <si>
    <t>"프링글스 리치치즈갈릭.jpg"</t>
  </si>
  <si>
    <t>"프링글스 버터카라멜.jpg"</t>
  </si>
  <si>
    <t>"프링글스 핫앤스파이시.jpg"</t>
  </si>
  <si>
    <t>"키커바.jpg"</t>
  </si>
  <si>
    <t>"코주부 CLASSIC 육포 Mild 130g.jpg"</t>
  </si>
  <si>
    <t>"코주부 CLASSIC 육포 HOT &amp; SPICY 130g.jpg"</t>
  </si>
  <si>
    <t>"펩시제로슈거라임 500ml.jpg"</t>
  </si>
  <si>
    <t>"핫식스더킹파워 355ml.jpg"</t>
  </si>
  <si>
    <t>"몬스터에너지 울트라 355ml.jpg"</t>
  </si>
  <si>
    <t>"햇반 130g.jpg"</t>
  </si>
  <si>
    <t>"햇반 210g.jpg"</t>
  </si>
  <si>
    <t>"맛있는 오뚜기밥 210g.jpg"</t>
  </si>
  <si>
    <t>"햇반흑미밥 130g.jpg"</t>
  </si>
  <si>
    <t>"햇반 매일잡곡밥 210g.jpg"</t>
  </si>
  <si>
    <t>"오뚜기 컵누들 매콤한 맛.jpg"</t>
  </si>
  <si>
    <t>"쟈뎅 아워티 콤푸차 레몬 10p.jpg"</t>
  </si>
  <si>
    <t>"쟈뎅 아워티 콤푸차 베리 10p.jpg"</t>
  </si>
  <si>
    <t>"쟈뎅 아워티 콤푸차 자몽 10p.jpg"</t>
  </si>
  <si>
    <t>"박카스맛젤리.jpg"</t>
  </si>
  <si>
    <t>"이클립스 페퍼민트향 34g.jpg"</t>
  </si>
  <si>
    <t>"이클립스 피치향 34g.jpg"</t>
  </si>
  <si>
    <t>"맥스빌더.jpg"</t>
  </si>
  <si>
    <t>"롯데햄 키스틱 더블치즈 소시지.jpg"</t>
  </si>
  <si>
    <t>"키스틱.jpg"</t>
  </si>
  <si>
    <t>"퀘이커 마시는오트밀 오트&amp;그레인, 50g.jpg"</t>
  </si>
  <si>
    <t>"퀘이커 마시는 오트밀 오트&amp;우리쌀, 50g.jpg"</t>
  </si>
  <si>
    <t>"퀘이커 마시는 오트밀 단백질, 80g.jpg"</t>
  </si>
  <si>
    <t>"퀘이커 마시는 오트밀 찰옥수수, 50g.jpg"</t>
  </si>
  <si>
    <t>"SNP 골드 콜라겐 앰플 마스크.jpg"</t>
  </si>
  <si>
    <t>"메디힐 디엔에이 프로아틴 마스크.jpg"</t>
  </si>
  <si>
    <t>"닥터지 메디유브이 울트라 선 50ml.jpg"</t>
  </si>
  <si>
    <t>"AHC 내추럴 퍼펙션 프레쉬선스틱.jpg"</t>
  </si>
  <si>
    <t>"AHC프라이빗 리얼아이크림기프트세트.jpg"</t>
  </si>
  <si>
    <t>"마녀공장 비피다 바이옴 수분 장벽 강화 크림 기획세트.jpg"</t>
  </si>
  <si>
    <t>"이니스프리 퍼펙트9인텐시브 크림.jpg"</t>
  </si>
  <si>
    <t>"닥터지 로얄 블랙스네일 크림.jpg"</t>
  </si>
  <si>
    <t>"아이소이 탄력크림EX.jpg"</t>
  </si>
  <si>
    <t>"다이아몬드 리페어 퍼펙트 세트.jpg"</t>
  </si>
  <si>
    <t>"닥터지 레드 블레미쉬 모이스처 클렌징 폼.jpg"</t>
  </si>
  <si>
    <t>"뉴트로지나 딥클린 아크네 포밍.jpg"</t>
  </si>
  <si>
    <t>"닥터지 레드 블레미쉬 클리어 수딩 토너, 500ml.jpg"</t>
  </si>
  <si>
    <t>"데체코 올리오 엑스트라 버진 디 올리바, 1L.jpg"</t>
  </si>
  <si>
    <t>"바세린 리프팅 리페어 로션 450ml.jpg"</t>
  </si>
  <si>
    <t>"라운드랩 1025 독도 수분 워터겔 마스크 30ml.jpg"</t>
  </si>
  <si>
    <t>"메디힐 WHP 미백수분 블랙마스크.jpg"</t>
  </si>
  <si>
    <t>"니베아 맨 센서티브 쉐이빙 폼, 250ml.jpg"</t>
  </si>
  <si>
    <t>"부케가르니 나드 샴푸 시그니처 500ml.jpg"</t>
  </si>
  <si>
    <t>"비알티씨 파워 옴므 올인원 솔루션 기획세트 200ML+50ML.jpg"</t>
  </si>
  <si>
    <t>"비욘드 바디 디펜스 샤워 450ml.jpg"</t>
  </si>
  <si>
    <t>"비욘드 바디 디펜스 에멀전 450ml.jpg"</t>
  </si>
  <si>
    <t>"비원즈 피토 콜라겐 아이세럼스틱 15ml.jpg"</t>
  </si>
  <si>
    <t>"센카 퍼팩트 휩 페이셜 워시.jpg"</t>
  </si>
  <si>
    <t>"센텔리안 24 마데카 베리어 바디로션 500ml.jpg"</t>
  </si>
  <si>
    <t>"센텔리안 24 마데카 옴프 올인원 125ml.jpg"</t>
  </si>
  <si>
    <t>"센텔리안24 링클셀 코어 아이크림.jpg"</t>
  </si>
  <si>
    <t>"셀퓨전씨 데일리 리페어 레이저크림 50ml.jpg"</t>
  </si>
  <si>
    <t>"셀퓨젼시 카밍다운크림 35ml.jpg"</t>
  </si>
  <si>
    <t>"아누아 어성초 80 수분 진정 앰플.jpg"</t>
  </si>
  <si>
    <t>"아누아 어성초70 데일리 로션 200ml.jpg"</t>
  </si>
  <si>
    <t>"아비브 부활초 크림 뉴트리션 튜브.jpg"</t>
  </si>
  <si>
    <t>"아비브 수분초 콜라겐 젤 마스크팩.jpg"</t>
  </si>
  <si>
    <t>"아비브 아크네 폼 클렌저 어성초 150ml.jpg"</t>
  </si>
  <si>
    <t>"아비브 약산성 pH 시트 마스크.jpg"</t>
  </si>
  <si>
    <t>"아비브 어성초 에센스 카밍펌프 50ml.jpg"</t>
  </si>
  <si>
    <t>"아이브 부활초 크림 뉴트리션 튜브.jpg"</t>
  </si>
  <si>
    <t>"아이소이 블레미쉬 케어 업 크림.jpg"</t>
  </si>
  <si>
    <t>"아이소이 인텐시브 리프팅 스팟 25ml.jpg"</t>
  </si>
  <si>
    <t>"액티브 프로 바이오틱스.jpg"</t>
  </si>
  <si>
    <t>"이니스프리 시카밤 40ml.jpg"</t>
  </si>
  <si>
    <t>"자민경크레마카발로 오일 투 폼 110ml(클렌징폼).jpg"</t>
  </si>
  <si>
    <t>"해피바스 오리지널 컬렉션 바디워시 체리블로섬향, 910g.jpg"</t>
  </si>
  <si>
    <t>"청정원 프리미엄 굴소스, 500g.jpg"</t>
  </si>
  <si>
    <t>"오뚜기 가쓰오부시장국, 360ml.jpg"</t>
  </si>
  <si>
    <t>"고소한 건강 생각 참기름.jpg"</t>
  </si>
  <si>
    <t>"까스활액.jpg"</t>
  </si>
  <si>
    <t>"꼬마웨하스바닐라맛.jpg"</t>
  </si>
  <si>
    <t>"꽃샘 피어나다 국화 유자, 350g.jpg"</t>
  </si>
  <si>
    <t>"꽃샘 피어나다 히비스커스 자몽, 350g.jpg"</t>
  </si>
  <si>
    <t>"꿀타이밍 야생화스틱15T.jpg"</t>
  </si>
  <si>
    <t>"나랑드사이다 245ml.jpg"</t>
  </si>
  <si>
    <t>"나랑드사이다 그린애플 245ml.jpg"</t>
  </si>
  <si>
    <t>"나랑드사이다 파인애플 245ml.jpg"</t>
  </si>
  <si>
    <t>"데미소다 복숭아, 250ml.jpg"</t>
  </si>
  <si>
    <t>"동원참치 고추 참치 4개 90g.jpg"</t>
  </si>
  <si>
    <t>"동원참치 라이트스탠다드 4개 90g.jpg"</t>
  </si>
  <si>
    <t>"크라운 NEW 롱스.jpg"</t>
  </si>
  <si>
    <t>"몽쉘카카오케이크 6개입.jpg"</t>
  </si>
  <si>
    <t>"밀키스제로 250ml.jpg"</t>
  </si>
  <si>
    <t>"박카스.jpg"</t>
  </si>
  <si>
    <t>"더프트앤도프트 파인 프라그란스 바디미스트 핑크브리즈향, 150ml.jpg"</t>
  </si>
  <si>
    <t>"닥터지 그린 마일드 업 선 스틱, 20g.jpg"</t>
  </si>
  <si>
    <t>"닥터자르트 바이탈 하이드라 솔루션 하이드로 플럼프 트리트먼트 에센스, 150ml.jpg"</t>
  </si>
  <si>
    <t>"듀이트리 울트라 바이탈라이징 스네일 에센스워터, 150ml.jpg"</t>
  </si>
  <si>
    <t>"정관장 홍삼보운 40ml x 30개입.jpg"</t>
  </si>
  <si>
    <t>"AHC 에이치 멜라 루트 크림(AHC 기미크림).jpg"</t>
  </si>
  <si>
    <t>"닥터지 블랙 스네일크림, 50ml.jpg"</t>
  </si>
  <si>
    <t>"닥터지 더모이스처 배리어 D 로션, 200ml.jpg"</t>
  </si>
  <si>
    <t>"닥터지 레드 블레미쉬 클리어 크림, 70ml.jpg"</t>
  </si>
  <si>
    <t>"닥터지 로얄 블랙 스네일 탄력 스페셜 세트 (에센스 + 크림 + 아이크림 + 마스크팩).jpg"</t>
  </si>
  <si>
    <t>"듀이트리 울트라 바이탈라이징 스네일 달팽이 3종 세트.jpg"</t>
  </si>
  <si>
    <t>"듀이트리 울트라 바이탈라이징 스네일 크림 80ml+샘플 10ml.jpg"</t>
  </si>
  <si>
    <t>"라운드랩 약콩 판테놀 크림, 80ml.jpg"</t>
  </si>
  <si>
    <t>"제주앤팜 레몬차 스틱 10p.jpg"</t>
  </si>
  <si>
    <t>"제주앤팜 한라봉차 10p.jpg"</t>
  </si>
  <si>
    <t>"이클립스 쿨링 소프트 캔디 레몬민트향 45g.jpg"</t>
  </si>
  <si>
    <t>"라운드랩 1025 독도 토너 대용량, 500ml.jpg"</t>
  </si>
  <si>
    <t>"마녀공장 퓨리파잉 소다폼, 150ml.jpg"</t>
  </si>
  <si>
    <t>"백설 자일로스 설탕 1kg.jpg"</t>
  </si>
  <si>
    <t>"백설 찍어먹는 트러플 솔트 50g.jpg"</t>
  </si>
  <si>
    <t>"봉편촌메밀국수2호 850g.jpg"</t>
  </si>
  <si>
    <t>"빼빼로 오리지널.jpg"</t>
  </si>
  <si>
    <t>"스페셜k 오리지날 480g.jpg"</t>
  </si>
  <si>
    <t>"아몬드 빼빼로.jpg"</t>
  </si>
  <si>
    <t>"아몬드초코볼.jpg"</t>
  </si>
  <si>
    <t>"아몬드푸레이크.jpg"</t>
  </si>
  <si>
    <t>"안성탕면.jpg"</t>
  </si>
  <si>
    <t>"엄마손파이.jpg"</t>
  </si>
  <si>
    <t>"졸음번쩍껌 울트라파워.jpg"</t>
  </si>
  <si>
    <t>"짜파게티 만능소스 280g.jpg"</t>
  </si>
  <si>
    <t>"첵스초코 570g.jpg"</t>
  </si>
  <si>
    <t>"초코틴인틴.jpg"</t>
  </si>
  <si>
    <t>"오리온 초코파이 정 468g.jpg"</t>
  </si>
  <si>
    <t>"칠성사이다제로(250ml).jpg"</t>
  </si>
  <si>
    <t>"칠성사이다제로(500ml).jpg"</t>
  </si>
  <si>
    <t>"콘트라베이스디카페인블랙 500ml.jpg"</t>
  </si>
  <si>
    <t>"쿠크다스케이크.jpg"</t>
  </si>
  <si>
    <t>"크라운산도딸기.jpg"</t>
  </si>
  <si>
    <t>"크런키 빼빼로.jpg"</t>
  </si>
  <si>
    <t>"키캣 4핑거.jpg"</t>
  </si>
  <si>
    <t>"탑플롯젤리 망고맛 320g.jpg"</t>
  </si>
  <si>
    <t>상품 상세 분류코드</t>
    <phoneticPr fontId="2" type="noConversion"/>
  </si>
  <si>
    <t>"N"</t>
  </si>
  <si>
    <t>"ITEM_TYPE_CODE"</t>
  </si>
  <si>
    <t>"식품"</t>
  </si>
  <si>
    <t>"화장품"</t>
  </si>
  <si>
    <t>기타</t>
    <phoneticPr fontId="2" type="noConversion"/>
  </si>
  <si>
    <t>로션/에멀전</t>
  </si>
  <si>
    <t>로션/에멀전</t>
    <phoneticPr fontId="2" type="noConversion"/>
  </si>
  <si>
    <t>"0207"</t>
  </si>
  <si>
    <t>"0208"</t>
  </si>
  <si>
    <t>상세분류 코드</t>
    <phoneticPr fontId="2" type="noConversion"/>
  </si>
  <si>
    <t>에센스/세럼/앰플</t>
    <phoneticPr fontId="2" type="noConversion"/>
  </si>
  <si>
    <t>"0209"</t>
  </si>
  <si>
    <t>"로션/에멀전"</t>
  </si>
  <si>
    <t>"에센스/세럼/앰플"</t>
  </si>
  <si>
    <t>에센스/세럼/앰플</t>
  </si>
  <si>
    <t>;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</si>
</sst>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₩-412]#,##0"/>
    <numFmt numFmtId="177" formatCode="&quot;₩&quot;#,##0"/>
  </numFmts>
  <fonts count="18">
    <font>
      <sz val="10"/>
      <color rgb="FF000000"/>
      <name val="Arial"/>
      <scheme val="minor"/>
    </font>
    <font>
      <sz val="11"/>
      <color rgb="FF000000"/>
      <name val="Arial"/>
      <family val="2"/>
    </font>
    <font>
      <sz val="8"/>
      <name val="Arial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Arial"/>
      <family val="3"/>
    </font>
    <font>
      <sz val="11"/>
      <color rgb="FF000000"/>
      <name val="Arial"/>
      <family val="3"/>
      <charset val="129"/>
    </font>
    <font>
      <sz val="11"/>
      <color rgb="FF000000"/>
      <name val="맑은 고딕"/>
      <family val="2"/>
      <charset val="129"/>
    </font>
    <font>
      <sz val="11"/>
      <color rgb="FF000000"/>
      <name val="Arial"/>
      <family val="2"/>
      <scheme val="minor"/>
    </font>
    <font>
      <sz val="11"/>
      <color rgb="FF000000"/>
      <name val="Arial"/>
      <family val="3"/>
      <charset val="129"/>
      <scheme val="minor"/>
    </font>
    <font>
      <sz val="11"/>
      <color rgb="FF000000"/>
      <name val="Arial"/>
      <family val="2"/>
      <charset val="129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1"/>
      <color rgb="FF000000"/>
      <name val="Arial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sz val="8"/>
      <name val="Arial"/>
      <family val="2"/>
      <charset val="129"/>
      <scheme val="minor"/>
    </font>
    <font>
      <sz val="11"/>
      <color theme="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49" fontId="0" fillId="0" borderId="0" xfId="0" applyNumberFormat="1"/>
    <xf numFmtId="0" fontId="7" fillId="0" borderId="0" xfId="0" applyFont="1"/>
    <xf numFmtId="176" fontId="10" fillId="0" borderId="0" xfId="0" applyNumberFormat="1" applyFont="1"/>
    <xf numFmtId="0" fontId="7" fillId="0" borderId="0" xfId="0" applyFont="1" applyAlignment="1">
      <alignment horizontal="fill"/>
    </xf>
    <xf numFmtId="0" fontId="7" fillId="0" borderId="0" xfId="0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177" fontId="7" fillId="0" borderId="4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177" fontId="7" fillId="0" borderId="4" xfId="0" applyNumberFormat="1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77" fontId="7" fillId="0" borderId="1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176" fontId="10" fillId="0" borderId="4" xfId="0" applyNumberFormat="1" applyFont="1" applyBorder="1" applyAlignment="1">
      <alignment vertical="center"/>
    </xf>
    <xf numFmtId="0" fontId="7" fillId="0" borderId="4" xfId="0" applyFont="1" applyBorder="1" applyAlignment="1">
      <alignment horizontal="fill" vertical="center"/>
    </xf>
    <xf numFmtId="0" fontId="0" fillId="0" borderId="0" xfId="0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49" fontId="13" fillId="2" borderId="6" xfId="0" applyNumberFormat="1" applyFont="1" applyFill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NumberFormat="1"/>
    <xf numFmtId="0" fontId="15" fillId="3" borderId="6" xfId="0" applyFont="1" applyFill="1" applyBorder="1" applyAlignment="1">
      <alignment horizontal="center" vertical="center"/>
    </xf>
    <xf numFmtId="0" fontId="16" fillId="0" borderId="0" xfId="0" applyFont="1"/>
    <xf numFmtId="49" fontId="16" fillId="0" borderId="6" xfId="0" applyNumberFormat="1" applyFont="1" applyBorder="1" applyAlignment="1">
      <alignment horizontal="center" vertical="center"/>
    </xf>
    <xf numFmtId="49" fontId="3" fillId="0" borderId="6" xfId="0" applyNumberFormat="1" applyFont="1" applyBorder="1"/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6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3" fillId="0" borderId="6" xfId="0" applyFont="1" applyBorder="1"/>
    <xf numFmtId="0" fontId="3" fillId="0" borderId="6" xfId="0" applyFont="1" applyBorder="1" applyAlignment="1"/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right"/>
    </xf>
    <xf numFmtId="0" fontId="3" fillId="0" borderId="6" xfId="0" applyFont="1" applyBorder="1" applyAlignment="1">
      <alignment horizontal="center" vertical="center"/>
    </xf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AE6F-57B5-4478-A27E-9EADABD81E96}">
  <dimension ref="B2:G46"/>
  <sheetViews>
    <sheetView workbookViewId="0">
      <selection activeCell="C27" sqref="C27"/>
    </sheetView>
  </sheetViews>
  <sheetFormatPr defaultRowHeight="13.2"/>
  <cols>
    <col min="2" max="2" width="11.21875" style="38" bestFit="1" customWidth="1"/>
    <col min="3" max="3" width="18.88671875" style="38" bestFit="1" customWidth="1"/>
    <col min="4" max="4" width="24.6640625" style="1" bestFit="1" customWidth="1"/>
    <col min="5" max="5" width="30" style="1" bestFit="1" customWidth="1"/>
    <col min="6" max="6" width="9.88671875" style="39" bestFit="1" customWidth="1"/>
    <col min="7" max="7" width="20.77734375" bestFit="1" customWidth="1"/>
  </cols>
  <sheetData>
    <row r="2" spans="2:7" s="30" customFormat="1" ht="13.8" customHeight="1">
      <c r="B2" s="35" t="s">
        <v>2</v>
      </c>
      <c r="C2" s="35" t="s">
        <v>3</v>
      </c>
      <c r="D2" s="35" t="s">
        <v>247</v>
      </c>
      <c r="E2" s="35" t="s">
        <v>865</v>
      </c>
      <c r="F2" s="55"/>
      <c r="G2" s="56"/>
    </row>
    <row r="3" spans="2:7" s="30" customFormat="1" ht="13.8" customHeight="1">
      <c r="B3" s="35" t="s">
        <v>30</v>
      </c>
      <c r="C3" s="35" t="s">
        <v>24</v>
      </c>
      <c r="D3" s="35" t="s">
        <v>245</v>
      </c>
      <c r="E3" s="35" t="s">
        <v>246</v>
      </c>
      <c r="F3" s="55"/>
      <c r="G3" s="56"/>
    </row>
    <row r="4" spans="2:7" s="30" customFormat="1" ht="13.8" customHeight="1">
      <c r="B4" s="37" t="s">
        <v>11</v>
      </c>
      <c r="C4" s="37" t="s">
        <v>223</v>
      </c>
      <c r="D4" s="37" t="s">
        <v>248</v>
      </c>
      <c r="E4" s="37" t="s">
        <v>249</v>
      </c>
      <c r="F4" s="54"/>
      <c r="G4" s="54" t="str">
        <f>_xlfn.CONCAT("""",C4,"""")</f>
        <v>"과자"</v>
      </c>
    </row>
    <row r="5" spans="2:7" s="30" customFormat="1" ht="13.8" customHeight="1">
      <c r="B5" s="37" t="s">
        <v>11</v>
      </c>
      <c r="C5" s="37" t="s">
        <v>220</v>
      </c>
      <c r="D5" s="37" t="s">
        <v>248</v>
      </c>
      <c r="E5" s="37" t="s">
        <v>250</v>
      </c>
      <c r="F5" s="54"/>
      <c r="G5" s="54" t="str">
        <f t="shared" ref="G5:G31" si="0">_xlfn.CONCAT("""",C5,"""")</f>
        <v>"음료"</v>
      </c>
    </row>
    <row r="6" spans="2:7" s="30" customFormat="1" ht="13.8" customHeight="1">
      <c r="B6" s="37" t="s">
        <v>11</v>
      </c>
      <c r="C6" s="37" t="s">
        <v>14</v>
      </c>
      <c r="D6" s="37" t="s">
        <v>248</v>
      </c>
      <c r="E6" s="37" t="s">
        <v>251</v>
      </c>
      <c r="F6" s="54"/>
      <c r="G6" s="54" t="str">
        <f t="shared" si="0"/>
        <v>"즉석밥"</v>
      </c>
    </row>
    <row r="7" spans="2:7" s="30" customFormat="1" ht="13.8" customHeight="1">
      <c r="B7" s="37" t="s">
        <v>11</v>
      </c>
      <c r="C7" s="37" t="s">
        <v>46</v>
      </c>
      <c r="D7" s="37" t="s">
        <v>248</v>
      </c>
      <c r="E7" s="37" t="s">
        <v>252</v>
      </c>
      <c r="F7" s="54"/>
      <c r="G7" s="54" t="str">
        <f t="shared" si="0"/>
        <v>"라면"</v>
      </c>
    </row>
    <row r="8" spans="2:7" s="30" customFormat="1" ht="13.8" customHeight="1">
      <c r="B8" s="37" t="s">
        <v>11</v>
      </c>
      <c r="C8" s="37" t="s">
        <v>221</v>
      </c>
      <c r="D8" s="37" t="s">
        <v>248</v>
      </c>
      <c r="E8" s="37" t="s">
        <v>253</v>
      </c>
      <c r="F8" s="54"/>
      <c r="G8" s="54" t="str">
        <f t="shared" si="0"/>
        <v>"차"</v>
      </c>
    </row>
    <row r="9" spans="2:7" s="30" customFormat="1" ht="13.8" customHeight="1">
      <c r="B9" s="37" t="s">
        <v>11</v>
      </c>
      <c r="C9" s="37" t="s">
        <v>16</v>
      </c>
      <c r="D9" s="37" t="s">
        <v>248</v>
      </c>
      <c r="E9" s="37" t="s">
        <v>254</v>
      </c>
      <c r="F9" s="54"/>
      <c r="G9" s="54" t="str">
        <f t="shared" si="0"/>
        <v>"캔디"</v>
      </c>
    </row>
    <row r="10" spans="2:7" s="30" customFormat="1" ht="13.8" customHeight="1">
      <c r="B10" s="37" t="s">
        <v>11</v>
      </c>
      <c r="C10" s="37" t="s">
        <v>89</v>
      </c>
      <c r="D10" s="37" t="s">
        <v>248</v>
      </c>
      <c r="E10" s="37" t="s">
        <v>255</v>
      </c>
      <c r="F10" s="54"/>
      <c r="G10" s="54" t="str">
        <f t="shared" si="0"/>
        <v>"기타"</v>
      </c>
    </row>
    <row r="11" spans="2:7" s="30" customFormat="1" ht="13.8" customHeight="1">
      <c r="B11" s="37" t="s">
        <v>11</v>
      </c>
      <c r="C11" s="37" t="s">
        <v>42</v>
      </c>
      <c r="D11" s="37" t="s">
        <v>248</v>
      </c>
      <c r="E11" s="37" t="s">
        <v>256</v>
      </c>
      <c r="F11" s="54"/>
      <c r="G11" s="54" t="str">
        <f t="shared" si="0"/>
        <v>"소세지"</v>
      </c>
    </row>
    <row r="12" spans="2:7" s="30" customFormat="1" ht="13.8" customHeight="1">
      <c r="B12" s="37" t="s">
        <v>11</v>
      </c>
      <c r="C12" s="37" t="s">
        <v>45</v>
      </c>
      <c r="D12" s="37" t="s">
        <v>248</v>
      </c>
      <c r="E12" s="37" t="s">
        <v>257</v>
      </c>
      <c r="F12" s="54"/>
      <c r="G12" s="54" t="str">
        <f t="shared" si="0"/>
        <v>"쉐이크"</v>
      </c>
    </row>
    <row r="13" spans="2:7" s="30" customFormat="1" ht="13.8" customHeight="1">
      <c r="B13" s="37" t="s">
        <v>11</v>
      </c>
      <c r="C13" s="37" t="s">
        <v>219</v>
      </c>
      <c r="D13" s="37" t="s">
        <v>248</v>
      </c>
      <c r="E13" s="37" t="s">
        <v>258</v>
      </c>
      <c r="F13" s="54"/>
      <c r="G13" s="54" t="str">
        <f t="shared" si="0"/>
        <v>"소스"</v>
      </c>
    </row>
    <row r="14" spans="2:7" s="30" customFormat="1" ht="13.8" customHeight="1">
      <c r="B14" s="37" t="s">
        <v>11</v>
      </c>
      <c r="C14" s="37" t="s">
        <v>225</v>
      </c>
      <c r="D14" s="37" t="s">
        <v>248</v>
      </c>
      <c r="E14" s="37" t="s">
        <v>259</v>
      </c>
      <c r="F14" s="54"/>
      <c r="G14" s="54" t="str">
        <f t="shared" si="0"/>
        <v>"건강"</v>
      </c>
    </row>
    <row r="15" spans="2:7" s="30" customFormat="1" ht="13.8" customHeight="1">
      <c r="B15" s="37" t="s">
        <v>17</v>
      </c>
      <c r="C15" s="37" t="s">
        <v>227</v>
      </c>
      <c r="D15" s="37" t="s">
        <v>260</v>
      </c>
      <c r="E15" s="37" t="s">
        <v>261</v>
      </c>
      <c r="F15" s="54"/>
      <c r="G15" s="54" t="str">
        <f t="shared" si="0"/>
        <v>"마스크팩"</v>
      </c>
    </row>
    <row r="16" spans="2:7" s="30" customFormat="1" ht="13.8" customHeight="1">
      <c r="B16" s="37" t="s">
        <v>17</v>
      </c>
      <c r="C16" s="37" t="s">
        <v>19</v>
      </c>
      <c r="D16" s="37" t="s">
        <v>260</v>
      </c>
      <c r="E16" s="37" t="s">
        <v>262</v>
      </c>
      <c r="F16" s="54"/>
      <c r="G16" s="54" t="str">
        <f t="shared" si="0"/>
        <v>"선크림"</v>
      </c>
    </row>
    <row r="17" spans="2:7" s="30" customFormat="1" ht="13.8" customHeight="1">
      <c r="B17" s="37" t="s">
        <v>17</v>
      </c>
      <c r="C17" s="37" t="s">
        <v>20</v>
      </c>
      <c r="D17" s="37" t="s">
        <v>260</v>
      </c>
      <c r="E17" s="37" t="s">
        <v>263</v>
      </c>
      <c r="F17" s="54"/>
      <c r="G17" s="54" t="str">
        <f t="shared" si="0"/>
        <v>"아이크림"</v>
      </c>
    </row>
    <row r="18" spans="2:7" s="30" customFormat="1" ht="13.8" customHeight="1">
      <c r="B18" s="37" t="s">
        <v>17</v>
      </c>
      <c r="C18" s="37" t="s">
        <v>21</v>
      </c>
      <c r="D18" s="37" t="s">
        <v>260</v>
      </c>
      <c r="E18" s="37" t="s">
        <v>264</v>
      </c>
      <c r="F18" s="54"/>
      <c r="G18" s="54" t="str">
        <f t="shared" si="0"/>
        <v>"영양크림"</v>
      </c>
    </row>
    <row r="19" spans="2:7" s="30" customFormat="1" ht="13.8" customHeight="1">
      <c r="B19" s="37" t="s">
        <v>17</v>
      </c>
      <c r="C19" s="37" t="s">
        <v>23</v>
      </c>
      <c r="D19" s="37" t="s">
        <v>260</v>
      </c>
      <c r="E19" s="37" t="s">
        <v>265</v>
      </c>
      <c r="F19" s="54"/>
      <c r="G19" s="54" t="str">
        <f t="shared" si="0"/>
        <v>"폼클렌징"</v>
      </c>
    </row>
    <row r="20" spans="2:7" s="30" customFormat="1" ht="13.8" customHeight="1">
      <c r="B20" s="37" t="s">
        <v>17</v>
      </c>
      <c r="C20" s="37" t="s">
        <v>47</v>
      </c>
      <c r="D20" s="37" t="s">
        <v>260</v>
      </c>
      <c r="E20" s="37" t="s">
        <v>266</v>
      </c>
      <c r="F20" s="54"/>
      <c r="G20" s="54" t="str">
        <f t="shared" si="0"/>
        <v>"토너"</v>
      </c>
    </row>
    <row r="21" spans="2:7" s="30" customFormat="1" ht="13.8" customHeight="1">
      <c r="B21" s="37" t="s">
        <v>17</v>
      </c>
      <c r="C21" s="37" t="s">
        <v>862</v>
      </c>
      <c r="D21" s="37" t="s">
        <v>260</v>
      </c>
      <c r="E21" s="37" t="s">
        <v>863</v>
      </c>
      <c r="F21" s="54"/>
      <c r="G21" s="54" t="str">
        <f t="shared" si="0"/>
        <v>"로션/에멀전"</v>
      </c>
    </row>
    <row r="22" spans="2:7" s="30" customFormat="1" ht="13.8" customHeight="1">
      <c r="B22" s="37" t="s">
        <v>17</v>
      </c>
      <c r="C22" s="37" t="s">
        <v>866</v>
      </c>
      <c r="D22" s="37" t="s">
        <v>260</v>
      </c>
      <c r="E22" s="37" t="s">
        <v>864</v>
      </c>
      <c r="F22" s="54"/>
      <c r="G22" s="54" t="str">
        <f t="shared" si="0"/>
        <v>"에센스/세럼/앰플"</v>
      </c>
    </row>
    <row r="23" spans="2:7" s="30" customFormat="1" ht="13.8" customHeight="1">
      <c r="B23" s="37" t="s">
        <v>17</v>
      </c>
      <c r="C23" s="37" t="s">
        <v>860</v>
      </c>
      <c r="D23" s="37" t="s">
        <v>260</v>
      </c>
      <c r="E23" s="37" t="s">
        <v>867</v>
      </c>
      <c r="F23" s="54"/>
      <c r="G23" s="54" t="str">
        <f t="shared" ref="G23" si="1">_xlfn.CONCAT("""",C23,"""")</f>
        <v>"기타"</v>
      </c>
    </row>
    <row r="24" spans="2:7" s="30" customFormat="1" ht="13.8" customHeight="1">
      <c r="B24" s="37" t="s">
        <v>6</v>
      </c>
      <c r="C24" s="37" t="s">
        <v>7</v>
      </c>
      <c r="D24" s="37" t="s">
        <v>267</v>
      </c>
      <c r="E24" s="37" t="s">
        <v>268</v>
      </c>
      <c r="F24" s="54"/>
      <c r="G24" s="54" t="str">
        <f t="shared" si="0"/>
        <v>"디퓨저"</v>
      </c>
    </row>
    <row r="25" spans="2:7" s="30" customFormat="1" ht="13.8" customHeight="1">
      <c r="B25" s="37" t="s">
        <v>6</v>
      </c>
      <c r="C25" s="37" t="s">
        <v>238</v>
      </c>
      <c r="D25" s="37" t="s">
        <v>267</v>
      </c>
      <c r="E25" s="37" t="s">
        <v>269</v>
      </c>
      <c r="F25" s="54"/>
      <c r="G25" s="54" t="str">
        <f t="shared" si="0"/>
        <v>"세탁"</v>
      </c>
    </row>
    <row r="26" spans="2:7" s="30" customFormat="1" ht="13.8" customHeight="1">
      <c r="B26" s="37" t="s">
        <v>6</v>
      </c>
      <c r="C26" s="37" t="s">
        <v>33</v>
      </c>
      <c r="D26" s="37" t="s">
        <v>267</v>
      </c>
      <c r="E26" s="37" t="s">
        <v>270</v>
      </c>
      <c r="F26" s="54"/>
      <c r="G26" s="54" t="str">
        <f t="shared" si="0"/>
        <v>"안마기"</v>
      </c>
    </row>
    <row r="27" spans="2:7" s="30" customFormat="1" ht="13.8" customHeight="1">
      <c r="B27" s="37" t="s">
        <v>6</v>
      </c>
      <c r="C27" s="37" t="s">
        <v>233</v>
      </c>
      <c r="D27" s="37" t="s">
        <v>267</v>
      </c>
      <c r="E27" s="37" t="s">
        <v>271</v>
      </c>
      <c r="F27" s="54"/>
      <c r="G27" s="54" t="str">
        <f t="shared" si="0"/>
        <v>"면도기"</v>
      </c>
    </row>
    <row r="28" spans="2:7" s="30" customFormat="1" ht="13.8" customHeight="1">
      <c r="B28" s="37" t="s">
        <v>6</v>
      </c>
      <c r="C28" s="37" t="s">
        <v>236</v>
      </c>
      <c r="D28" s="37" t="s">
        <v>267</v>
      </c>
      <c r="E28" s="37" t="s">
        <v>272</v>
      </c>
      <c r="F28" s="54"/>
      <c r="G28" s="54" t="str">
        <f t="shared" si="0"/>
        <v>"구강"</v>
      </c>
    </row>
    <row r="29" spans="2:7" s="30" customFormat="1" ht="13.8" customHeight="1">
      <c r="B29" s="37" t="s">
        <v>6</v>
      </c>
      <c r="C29" s="37" t="s">
        <v>240</v>
      </c>
      <c r="D29" s="37" t="s">
        <v>267</v>
      </c>
      <c r="E29" s="37" t="s">
        <v>273</v>
      </c>
      <c r="F29" s="54"/>
      <c r="G29" s="54" t="str">
        <f t="shared" si="0"/>
        <v>"두피"</v>
      </c>
    </row>
    <row r="30" spans="2:7" s="30" customFormat="1" ht="13.8" customHeight="1">
      <c r="B30" s="37" t="s">
        <v>6</v>
      </c>
      <c r="C30" s="37" t="s">
        <v>134</v>
      </c>
      <c r="D30" s="37" t="s">
        <v>267</v>
      </c>
      <c r="E30" s="37" t="s">
        <v>274</v>
      </c>
      <c r="F30" s="54"/>
      <c r="G30" s="54" t="str">
        <f t="shared" si="0"/>
        <v>"바디"</v>
      </c>
    </row>
    <row r="31" spans="2:7" s="30" customFormat="1" ht="13.8" customHeight="1">
      <c r="B31" s="37" t="s">
        <v>6</v>
      </c>
      <c r="C31" s="37" t="s">
        <v>243</v>
      </c>
      <c r="D31" s="37" t="s">
        <v>267</v>
      </c>
      <c r="E31" s="37" t="s">
        <v>275</v>
      </c>
      <c r="F31" s="54"/>
      <c r="G31" s="54" t="str">
        <f t="shared" si="0"/>
        <v>"의류"</v>
      </c>
    </row>
    <row r="32" spans="2:7">
      <c r="B32" s="1"/>
      <c r="C32" s="1"/>
    </row>
    <row r="33" spans="2:3">
      <c r="B33" s="1"/>
      <c r="C33" s="1"/>
    </row>
    <row r="34" spans="2:3">
      <c r="B34" s="1"/>
      <c r="C34" s="1"/>
    </row>
    <row r="35" spans="2:3">
      <c r="B35" s="1"/>
      <c r="C35" s="1"/>
    </row>
    <row r="36" spans="2:3">
      <c r="B36" s="1"/>
      <c r="C36" s="1"/>
    </row>
    <row r="37" spans="2:3">
      <c r="B37" s="1"/>
      <c r="C37" s="1"/>
    </row>
    <row r="38" spans="2:3">
      <c r="B38" s="1"/>
      <c r="C38" s="1"/>
    </row>
    <row r="39" spans="2:3">
      <c r="B39" s="1"/>
      <c r="C39" s="1"/>
    </row>
    <row r="40" spans="2:3">
      <c r="B40" s="1"/>
      <c r="C40" s="1"/>
    </row>
    <row r="41" spans="2:3">
      <c r="B41" s="1"/>
      <c r="C41" s="1"/>
    </row>
    <row r="42" spans="2:3">
      <c r="B42" s="1"/>
      <c r="C42" s="1"/>
    </row>
    <row r="43" spans="2:3">
      <c r="B43" s="1"/>
      <c r="C43" s="1"/>
    </row>
    <row r="44" spans="2:3">
      <c r="B44" s="1"/>
      <c r="C44" s="1"/>
    </row>
    <row r="45" spans="2:3">
      <c r="B45" s="1"/>
      <c r="C45" s="1"/>
    </row>
    <row r="46" spans="2:3">
      <c r="B46" s="1"/>
      <c r="C46" s="1"/>
    </row>
  </sheetData>
  <autoFilter ref="B3:E31" xr:uid="{9A09AE6F-57B5-4478-A27E-9EADABD81E96}">
    <sortState xmlns:xlrd2="http://schemas.microsoft.com/office/spreadsheetml/2017/richdata2" ref="B4:E31">
      <sortCondition ref="D3:D31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70EA4-87C6-44F8-A254-94EBEE5F6E1D}">
  <sheetPr>
    <outlinePr summaryBelow="0" summaryRight="0"/>
  </sheetPr>
  <dimension ref="B1:K433"/>
  <sheetViews>
    <sheetView workbookViewId="0">
      <pane ySplit="3" topLeftCell="A22" activePane="bottomLeft" state="frozen"/>
      <selection pane="bottomLeft" activeCell="D11" sqref="D11"/>
    </sheetView>
  </sheetViews>
  <sheetFormatPr defaultColWidth="12.6640625" defaultRowHeight="14.4" customHeight="1"/>
  <cols>
    <col min="1" max="1" width="3.33203125" style="2" customWidth="1"/>
    <col min="2" max="2" width="15.5546875" style="6" bestFit="1" customWidth="1"/>
    <col min="3" max="3" width="11.6640625" style="5" bestFit="1" customWidth="1"/>
    <col min="4" max="4" width="23" style="5" customWidth="1"/>
    <col min="5" max="5" width="72.109375" style="2" customWidth="1"/>
    <col min="6" max="6" width="12.109375" style="2" bestFit="1" customWidth="1"/>
    <col min="7" max="8" width="12.6640625" style="2" customWidth="1"/>
    <col min="9" max="9" width="24" style="4" customWidth="1"/>
    <col min="10" max="10" width="16.21875" style="2" customWidth="1"/>
    <col min="11" max="16384" width="12.6640625" style="2"/>
  </cols>
  <sheetData>
    <row r="1" spans="2:11" ht="14.4" customHeight="1">
      <c r="G1" s="3"/>
    </row>
    <row r="2" spans="2:11" ht="14.4" customHeight="1">
      <c r="B2" s="7" t="s">
        <v>28</v>
      </c>
      <c r="C2" s="8" t="s">
        <v>2</v>
      </c>
      <c r="D2" s="8" t="s">
        <v>3</v>
      </c>
      <c r="E2" s="8" t="s">
        <v>0</v>
      </c>
      <c r="F2" s="8" t="s">
        <v>1</v>
      </c>
      <c r="G2" s="8" t="s">
        <v>4</v>
      </c>
      <c r="H2" s="8" t="s">
        <v>87</v>
      </c>
      <c r="I2" s="8" t="s">
        <v>88</v>
      </c>
      <c r="J2" s="8" t="s">
        <v>5</v>
      </c>
      <c r="K2" s="9"/>
    </row>
    <row r="3" spans="2:11" ht="14.4" customHeight="1">
      <c r="B3" s="10" t="s">
        <v>29</v>
      </c>
      <c r="C3" s="11" t="s">
        <v>30</v>
      </c>
      <c r="D3" s="11" t="s">
        <v>24</v>
      </c>
      <c r="E3" s="11" t="s">
        <v>25</v>
      </c>
      <c r="F3" s="11" t="s">
        <v>31</v>
      </c>
      <c r="G3" s="11" t="s">
        <v>26</v>
      </c>
      <c r="H3" s="11"/>
      <c r="I3" s="11" t="s">
        <v>32</v>
      </c>
      <c r="J3" s="11" t="s">
        <v>27</v>
      </c>
      <c r="K3" s="9" t="s">
        <v>140</v>
      </c>
    </row>
    <row r="4" spans="2:11" ht="13.8">
      <c r="B4" s="12">
        <v>1</v>
      </c>
      <c r="C4" s="13" t="s">
        <v>6</v>
      </c>
      <c r="D4" s="13" t="s">
        <v>7</v>
      </c>
      <c r="E4" s="19" t="s">
        <v>8</v>
      </c>
      <c r="F4" s="16">
        <v>2970</v>
      </c>
      <c r="G4" s="17">
        <v>1</v>
      </c>
      <c r="H4" s="18">
        <f t="shared" ref="H4:H35" si="0">F4*G4</f>
        <v>2970</v>
      </c>
      <c r="I4" s="19" t="str">
        <f t="shared" ref="I4:I35" si="1">_xlfn.CONCAT(E4, ".jpg")</f>
        <v>캘리포니아센트 스필프루프 코로나도.jpg</v>
      </c>
      <c r="J4" s="19" t="s">
        <v>9</v>
      </c>
      <c r="K4" s="9" t="str">
        <f>_xlfn.CONCAT("{""",$B$3,""":""",B4,""",""",$C$3,""":""",C4,""",""",$D$3,""":""",D4,""",""",$E$3,""":""",E4,""",""",$F$3,""":""",F4,""",""",$G$3,""":""",G4,""",""",$H$3,""":""",H4,""",""",$I$3,""":""",I4,"""},")</f>
        <v>{"ITM_SEQ":"1","TYPE":"기타","TYPE_DTL":"디퓨저","ITM_NM":"캘리포니아센트 스필프루프 코로나도","PRICE":"2970","UNIT":"1","":"2970","IMG":"캘리포니아센트 스필프루프 코로나도.jpg"},</v>
      </c>
    </row>
    <row r="5" spans="2:11" ht="14.4" customHeight="1">
      <c r="B5" s="20">
        <v>2</v>
      </c>
      <c r="C5" s="13" t="s">
        <v>6</v>
      </c>
      <c r="D5" s="13" t="s">
        <v>7</v>
      </c>
      <c r="E5" s="19" t="s">
        <v>10</v>
      </c>
      <c r="F5" s="16">
        <v>6100</v>
      </c>
      <c r="G5" s="17">
        <v>1</v>
      </c>
      <c r="H5" s="18">
        <f t="shared" si="0"/>
        <v>6100</v>
      </c>
      <c r="I5" s="19" t="str">
        <f t="shared" si="1"/>
        <v>젠틀 디퓨저 블랙로즈.jpg</v>
      </c>
      <c r="J5" s="19"/>
      <c r="K5" s="9" t="str">
        <f t="shared" ref="K5:K53" si="2">_xlfn.CONCAT("{""",$B$3,""":""",B5,""",""",$C$3,""":""",C5,""",""",$D$3,""":""",D5,""",""",$E$3,""":""",E5,""",""",$F$3,""":""",F5,""",""",$G$3,""":""",G5,""",""",$H$3,""":""",H5,""",""",$I$3,""":""",I5,"""},")</f>
        <v>{"ITM_SEQ":"2","TYPE":"기타","TYPE_DTL":"디퓨저","ITM_NM":"젠틀 디퓨저 블랙로즈","PRICE":"6100","UNIT":"1","":"6100","IMG":"젠틀 디퓨저 블랙로즈.jpg"},</v>
      </c>
    </row>
    <row r="6" spans="2:11" ht="14.4" customHeight="1">
      <c r="B6" s="12">
        <v>3</v>
      </c>
      <c r="C6" s="13" t="s">
        <v>6</v>
      </c>
      <c r="D6" s="13" t="s">
        <v>7</v>
      </c>
      <c r="E6" s="19" t="s">
        <v>64</v>
      </c>
      <c r="F6" s="16">
        <v>8760</v>
      </c>
      <c r="G6" s="17">
        <v>1</v>
      </c>
      <c r="H6" s="18">
        <f t="shared" si="0"/>
        <v>8760</v>
      </c>
      <c r="I6" s="19" t="str">
        <f t="shared" si="1"/>
        <v>에멜시 차량용 방향제 170ml 헤블린 오션.jpg</v>
      </c>
      <c r="J6" s="19"/>
      <c r="K6" s="9" t="str">
        <f t="shared" si="2"/>
        <v>{"ITM_SEQ":"3","TYPE":"기타","TYPE_DTL":"디퓨저","ITM_NM":"에멜시 차량용 방향제 170ml 헤블린 오션","PRICE":"8760","UNIT":"1","":"8760","IMG":"에멜시 차량용 방향제 170ml 헤블린 오션.jpg"},</v>
      </c>
    </row>
    <row r="7" spans="2:11" ht="14.4" customHeight="1">
      <c r="B7" s="20">
        <v>4</v>
      </c>
      <c r="C7" s="13" t="s">
        <v>6</v>
      </c>
      <c r="D7" s="13" t="s">
        <v>7</v>
      </c>
      <c r="E7" s="19" t="s">
        <v>48</v>
      </c>
      <c r="F7" s="16">
        <v>8990</v>
      </c>
      <c r="G7" s="17">
        <v>1</v>
      </c>
      <c r="H7" s="18">
        <f t="shared" si="0"/>
        <v>8990</v>
      </c>
      <c r="I7" s="19" t="str">
        <f t="shared" si="1"/>
        <v>그라스 디퓨저 105ml 블랙베리&amp;체리.jpg</v>
      </c>
      <c r="J7" s="19"/>
      <c r="K7" s="9" t="str">
        <f t="shared" si="2"/>
        <v>{"ITM_SEQ":"4","TYPE":"기타","TYPE_DTL":"디퓨저","ITM_NM":"그라스 디퓨저 105ml 블랙베리&amp;체리","PRICE":"8990","UNIT":"1","":"8990","IMG":"그라스 디퓨저 105ml 블랙베리&amp;체리.jpg"},</v>
      </c>
    </row>
    <row r="8" spans="2:11" ht="14.4" customHeight="1">
      <c r="B8" s="12">
        <v>5</v>
      </c>
      <c r="C8" s="26" t="s">
        <v>89</v>
      </c>
      <c r="D8" s="32" t="s">
        <v>237</v>
      </c>
      <c r="E8" s="19" t="s">
        <v>50</v>
      </c>
      <c r="F8" s="16">
        <v>6150</v>
      </c>
      <c r="G8" s="17">
        <v>1</v>
      </c>
      <c r="H8" s="18">
        <f t="shared" si="0"/>
        <v>6150</v>
      </c>
      <c r="I8" s="19" t="str">
        <f t="shared" si="1"/>
        <v>다우니 프리미엄 세탁세제 액체형 실내건조.jpg</v>
      </c>
      <c r="J8" s="19"/>
      <c r="K8" s="9" t="str">
        <f t="shared" si="2"/>
        <v>{"ITM_SEQ":"5","TYPE":"기타","TYPE_DTL":"세탁","ITM_NM":"다우니 프리미엄 세탁세제 액체형 실내건조","PRICE":"6150","UNIT":"1","":"6150","IMG":"다우니 프리미엄 세탁세제 액체형 실내건조.jpg"},</v>
      </c>
    </row>
    <row r="9" spans="2:11" ht="14.4" customHeight="1">
      <c r="B9" s="20">
        <v>6</v>
      </c>
      <c r="C9" s="13" t="s">
        <v>6</v>
      </c>
      <c r="D9" s="13" t="s">
        <v>33</v>
      </c>
      <c r="E9" s="19" t="s">
        <v>62</v>
      </c>
      <c r="F9" s="16">
        <v>25280</v>
      </c>
      <c r="G9" s="17">
        <v>1</v>
      </c>
      <c r="H9" s="18">
        <f t="shared" si="0"/>
        <v>25280</v>
      </c>
      <c r="I9" s="19" t="str">
        <f t="shared" si="1"/>
        <v>비트 마사지 건 HMS-12.jpg</v>
      </c>
      <c r="J9" s="19"/>
      <c r="K9" s="9" t="str">
        <f t="shared" si="2"/>
        <v>{"ITM_SEQ":"6","TYPE":"기타","TYPE_DTL":"안마기","ITM_NM":"비트 마사지 건 HMS-12","PRICE":"25280","UNIT":"1","":"25280","IMG":"비트 마사지 건 HMS-12.jpg"},</v>
      </c>
    </row>
    <row r="10" spans="2:11" ht="14.4" customHeight="1">
      <c r="B10" s="12">
        <v>7</v>
      </c>
      <c r="C10" s="13" t="s">
        <v>6</v>
      </c>
      <c r="D10" s="32" t="s">
        <v>232</v>
      </c>
      <c r="E10" s="22" t="s">
        <v>72</v>
      </c>
      <c r="F10" s="23">
        <v>13280</v>
      </c>
      <c r="G10" s="17">
        <v>1</v>
      </c>
      <c r="H10" s="18">
        <f t="shared" si="0"/>
        <v>13280</v>
      </c>
      <c r="I10" s="19" t="str">
        <f t="shared" si="1"/>
        <v>질레트 프로쉴드 옐로우 면도날 4입.jpg</v>
      </c>
      <c r="J10" s="19"/>
      <c r="K10" s="9" t="str">
        <f t="shared" si="2"/>
        <v>{"ITM_SEQ":"7","TYPE":"기타","TYPE_DTL":"면도기","ITM_NM":"질레트 프로쉴드 옐로우 면도날 4입","PRICE":"13280","UNIT":"1","":"13280","IMG":"질레트 프로쉴드 옐로우 면도날 4입.jpg"},</v>
      </c>
    </row>
    <row r="11" spans="2:11" ht="14.4" customHeight="1">
      <c r="B11" s="20">
        <v>8</v>
      </c>
      <c r="C11" s="13" t="s">
        <v>11</v>
      </c>
      <c r="D11" s="13" t="s">
        <v>12</v>
      </c>
      <c r="E11" s="21" t="s">
        <v>186</v>
      </c>
      <c r="F11" s="16">
        <v>1250</v>
      </c>
      <c r="G11" s="17">
        <v>12</v>
      </c>
      <c r="H11" s="18">
        <f t="shared" si="0"/>
        <v>15000</v>
      </c>
      <c r="I11" s="19" t="str">
        <f t="shared" si="1"/>
        <v>프링글스 양파맛.jpg</v>
      </c>
      <c r="J11" s="19"/>
      <c r="K11" s="9" t="str">
        <f t="shared" si="2"/>
        <v>{"ITM_SEQ":"8","TYPE":"식품","TYPE_DTL":"과자","ITM_NM":"프링글스 양파맛","PRICE":"1250","UNIT":"12","":"15000","IMG":"프링글스 양파맛.jpg"},</v>
      </c>
    </row>
    <row r="12" spans="2:11" ht="14.4" customHeight="1">
      <c r="B12" s="12">
        <v>9</v>
      </c>
      <c r="C12" s="13" t="s">
        <v>11</v>
      </c>
      <c r="D12" s="13" t="s">
        <v>12</v>
      </c>
      <c r="E12" s="19" t="s">
        <v>81</v>
      </c>
      <c r="F12" s="16">
        <v>1400</v>
      </c>
      <c r="G12" s="17">
        <v>12</v>
      </c>
      <c r="H12" s="18">
        <f t="shared" si="0"/>
        <v>16800</v>
      </c>
      <c r="I12" s="19" t="str">
        <f t="shared" si="1"/>
        <v>프링글스 리치치즈갈릭.jpg</v>
      </c>
      <c r="J12" s="19"/>
      <c r="K12" s="9" t="str">
        <f t="shared" si="2"/>
        <v>{"ITM_SEQ":"9","TYPE":"식품","TYPE_DTL":"과자","ITM_NM":"프링글스 리치치즈갈릭","PRICE":"1400","UNIT":"12","":"16800","IMG":"프링글스 리치치즈갈릭.jpg"},</v>
      </c>
    </row>
    <row r="13" spans="2:11" ht="14.4" customHeight="1">
      <c r="B13" s="20">
        <v>10</v>
      </c>
      <c r="C13" s="13" t="s">
        <v>11</v>
      </c>
      <c r="D13" s="13" t="s">
        <v>12</v>
      </c>
      <c r="E13" s="19" t="s">
        <v>34</v>
      </c>
      <c r="F13" s="28">
        <v>1250</v>
      </c>
      <c r="G13" s="17">
        <v>12</v>
      </c>
      <c r="H13" s="18">
        <f t="shared" si="0"/>
        <v>15000</v>
      </c>
      <c r="I13" s="19" t="str">
        <f t="shared" si="1"/>
        <v>프링글스 버터카라멜.jpg</v>
      </c>
      <c r="J13" s="19"/>
      <c r="K13" s="9" t="str">
        <f t="shared" si="2"/>
        <v>{"ITM_SEQ":"10","TYPE":"식품","TYPE_DTL":"과자","ITM_NM":"프링글스 버터카라멜","PRICE":"1250","UNIT":"12","":"15000","IMG":"프링글스 버터카라멜.jpg"},</v>
      </c>
    </row>
    <row r="14" spans="2:11" ht="14.4" customHeight="1">
      <c r="B14" s="12">
        <v>11</v>
      </c>
      <c r="C14" s="13" t="s">
        <v>11</v>
      </c>
      <c r="D14" s="13" t="s">
        <v>12</v>
      </c>
      <c r="E14" s="19" t="s">
        <v>35</v>
      </c>
      <c r="F14" s="28">
        <v>1250</v>
      </c>
      <c r="G14" s="17">
        <v>12</v>
      </c>
      <c r="H14" s="18">
        <f t="shared" si="0"/>
        <v>15000</v>
      </c>
      <c r="I14" s="19" t="str">
        <f t="shared" si="1"/>
        <v>프링글스 핫앤스파이시.jpg</v>
      </c>
      <c r="J14" s="19"/>
      <c r="K14" s="9" t="str">
        <f t="shared" si="2"/>
        <v>{"ITM_SEQ":"11","TYPE":"식품","TYPE_DTL":"과자","ITM_NM":"프링글스 핫앤스파이시","PRICE":"1250","UNIT":"12","":"15000","IMG":"프링글스 핫앤스파이시.jpg"},</v>
      </c>
    </row>
    <row r="15" spans="2:11" ht="14.4" customHeight="1">
      <c r="B15" s="20">
        <v>12</v>
      </c>
      <c r="C15" s="13" t="s">
        <v>11</v>
      </c>
      <c r="D15" s="13" t="s">
        <v>12</v>
      </c>
      <c r="E15" s="19" t="s">
        <v>79</v>
      </c>
      <c r="F15" s="16">
        <v>450</v>
      </c>
      <c r="G15" s="17">
        <v>15</v>
      </c>
      <c r="H15" s="18">
        <f t="shared" si="0"/>
        <v>6750</v>
      </c>
      <c r="I15" s="19" t="str">
        <f t="shared" si="1"/>
        <v>키커바.jpg</v>
      </c>
      <c r="J15" s="19"/>
      <c r="K15" s="9" t="str">
        <f t="shared" si="2"/>
        <v>{"ITM_SEQ":"12","TYPE":"식품","TYPE_DTL":"과자","ITM_NM":"키커바","PRICE":"450","UNIT":"15","":"6750","IMG":"키커바.jpg"},</v>
      </c>
    </row>
    <row r="16" spans="2:11" ht="14.4" customHeight="1">
      <c r="B16" s="12">
        <v>13</v>
      </c>
      <c r="C16" s="13" t="s">
        <v>11</v>
      </c>
      <c r="D16" s="13" t="s">
        <v>12</v>
      </c>
      <c r="E16" s="19" t="s">
        <v>74</v>
      </c>
      <c r="F16" s="16">
        <v>7130</v>
      </c>
      <c r="G16" s="17">
        <v>1</v>
      </c>
      <c r="H16" s="18">
        <f t="shared" si="0"/>
        <v>7130</v>
      </c>
      <c r="I16" s="19" t="str">
        <f t="shared" si="1"/>
        <v>코주부 CLASSIC 육포 Mild 130g.jpg</v>
      </c>
      <c r="J16" s="19"/>
      <c r="K16" s="9" t="str">
        <f t="shared" si="2"/>
        <v>{"ITM_SEQ":"13","TYPE":"식품","TYPE_DTL":"과자","ITM_NM":"코주부 CLASSIC 육포 Mild 130g","PRICE":"7130","UNIT":"1","":"7130","IMG":"코주부 CLASSIC 육포 Mild 130g.jpg"},</v>
      </c>
    </row>
    <row r="17" spans="2:11" ht="14.4" customHeight="1">
      <c r="B17" s="20">
        <v>14</v>
      </c>
      <c r="C17" s="13" t="s">
        <v>11</v>
      </c>
      <c r="D17" s="13" t="s">
        <v>12</v>
      </c>
      <c r="E17" s="19" t="s">
        <v>73</v>
      </c>
      <c r="F17" s="16">
        <v>6040</v>
      </c>
      <c r="G17" s="17">
        <v>1</v>
      </c>
      <c r="H17" s="18">
        <f t="shared" si="0"/>
        <v>6040</v>
      </c>
      <c r="I17" s="19" t="str">
        <f t="shared" si="1"/>
        <v>코주부 CLASSIC 육포 HOT &amp; SPICY 130g.jpg</v>
      </c>
      <c r="J17" s="19"/>
      <c r="K17" s="9" t="str">
        <f t="shared" si="2"/>
        <v>{"ITM_SEQ":"14","TYPE":"식품","TYPE_DTL":"과자","ITM_NM":"코주부 CLASSIC 육포 HOT &amp; SPICY 130g","PRICE":"6040","UNIT":"1","":"6040","IMG":"코주부 CLASSIC 육포 HOT &amp; SPICY 130g.jpg"},</v>
      </c>
    </row>
    <row r="18" spans="2:11" ht="14.4" customHeight="1">
      <c r="B18" s="12">
        <v>15</v>
      </c>
      <c r="C18" s="13" t="s">
        <v>11</v>
      </c>
      <c r="D18" s="13" t="s">
        <v>13</v>
      </c>
      <c r="E18" s="19" t="s">
        <v>80</v>
      </c>
      <c r="F18" s="16">
        <v>680</v>
      </c>
      <c r="G18" s="17">
        <v>20</v>
      </c>
      <c r="H18" s="18">
        <f t="shared" si="0"/>
        <v>13600</v>
      </c>
      <c r="I18" s="19" t="str">
        <f t="shared" si="1"/>
        <v>펩시제로슈거라임 500ml.jpg</v>
      </c>
      <c r="J18" s="19"/>
      <c r="K18" s="9" t="str">
        <f t="shared" si="2"/>
        <v>{"ITM_SEQ":"15","TYPE":"식품","TYPE_DTL":"음료","ITM_NM":"펩시제로슈거라임 500ml","PRICE":"680","UNIT":"20","":"13600","IMG":"펩시제로슈거라임 500ml.jpg"},</v>
      </c>
    </row>
    <row r="19" spans="2:11" ht="14.4" customHeight="1">
      <c r="B19" s="20">
        <v>16</v>
      </c>
      <c r="C19" s="13" t="s">
        <v>11</v>
      </c>
      <c r="D19" s="13" t="s">
        <v>13</v>
      </c>
      <c r="E19" s="19" t="s">
        <v>82</v>
      </c>
      <c r="F19" s="16">
        <v>740</v>
      </c>
      <c r="G19" s="17">
        <v>24</v>
      </c>
      <c r="H19" s="18">
        <f t="shared" si="0"/>
        <v>17760</v>
      </c>
      <c r="I19" s="19" t="str">
        <f t="shared" si="1"/>
        <v>핫식스더킹파워 355ml.jpg</v>
      </c>
      <c r="J19" s="19"/>
      <c r="K19" s="9" t="str">
        <f t="shared" si="2"/>
        <v>{"ITM_SEQ":"16","TYPE":"식품","TYPE_DTL":"음료","ITM_NM":"핫식스더킹파워 355ml","PRICE":"740","UNIT":"24","":"17760","IMG":"핫식스더킹파워 355ml.jpg"},</v>
      </c>
    </row>
    <row r="20" spans="2:11" ht="14.4" customHeight="1">
      <c r="B20" s="12">
        <v>17</v>
      </c>
      <c r="C20" s="13" t="s">
        <v>11</v>
      </c>
      <c r="D20" s="13" t="s">
        <v>13</v>
      </c>
      <c r="E20" s="19" t="s">
        <v>60</v>
      </c>
      <c r="F20" s="16">
        <v>1420</v>
      </c>
      <c r="G20" s="17">
        <v>24</v>
      </c>
      <c r="H20" s="18">
        <f t="shared" si="0"/>
        <v>34080</v>
      </c>
      <c r="I20" s="19" t="str">
        <f t="shared" si="1"/>
        <v>몬스터에너지 울트라 355ml.jpg</v>
      </c>
      <c r="J20" s="19"/>
      <c r="K20" s="9" t="str">
        <f t="shared" si="2"/>
        <v>{"ITM_SEQ":"17","TYPE":"식품","TYPE_DTL":"음료","ITM_NM":"몬스터에너지 울트라 355ml","PRICE":"1420","UNIT":"24","":"34080","IMG":"몬스터에너지 울트라 355ml.jpg"},</v>
      </c>
    </row>
    <row r="21" spans="2:11" ht="14.4" customHeight="1">
      <c r="B21" s="20">
        <v>18</v>
      </c>
      <c r="C21" s="13" t="s">
        <v>11</v>
      </c>
      <c r="D21" s="13" t="s">
        <v>14</v>
      </c>
      <c r="E21" s="19" t="s">
        <v>83</v>
      </c>
      <c r="F21" s="16">
        <v>620</v>
      </c>
      <c r="G21" s="17">
        <v>36</v>
      </c>
      <c r="H21" s="18">
        <f t="shared" si="0"/>
        <v>22320</v>
      </c>
      <c r="I21" s="19" t="str">
        <f t="shared" si="1"/>
        <v>햇반 130g.jpg</v>
      </c>
      <c r="J21" s="19"/>
      <c r="K21" s="9" t="str">
        <f t="shared" si="2"/>
        <v>{"ITM_SEQ":"18","TYPE":"식품","TYPE_DTL":"즉석밥","ITM_NM":"햇반 130g","PRICE":"620","UNIT":"36","":"22320","IMG":"햇반 130g.jpg"},</v>
      </c>
    </row>
    <row r="22" spans="2:11" ht="14.4" customHeight="1">
      <c r="B22" s="12">
        <v>19</v>
      </c>
      <c r="C22" s="33" t="s">
        <v>11</v>
      </c>
      <c r="D22" s="33" t="s">
        <v>14</v>
      </c>
      <c r="E22" s="19" t="s">
        <v>84</v>
      </c>
      <c r="F22" s="16">
        <v>1100</v>
      </c>
      <c r="G22" s="17">
        <v>24</v>
      </c>
      <c r="H22" s="18">
        <f t="shared" si="0"/>
        <v>26400</v>
      </c>
      <c r="I22" s="19" t="str">
        <f t="shared" si="1"/>
        <v>햇반 210g.jpg</v>
      </c>
      <c r="J22" s="19"/>
      <c r="K22" s="9" t="str">
        <f t="shared" si="2"/>
        <v>{"ITM_SEQ":"19","TYPE":"식품","TYPE_DTL":"즉석밥","ITM_NM":"햇반 210g","PRICE":"1100","UNIT":"24","":"26400","IMG":"햇반 210g.jpg"},</v>
      </c>
    </row>
    <row r="23" spans="2:11" ht="14.4" customHeight="1">
      <c r="B23" s="20">
        <v>20</v>
      </c>
      <c r="C23" s="13" t="s">
        <v>11</v>
      </c>
      <c r="D23" s="13" t="s">
        <v>14</v>
      </c>
      <c r="E23" s="19" t="s">
        <v>58</v>
      </c>
      <c r="F23" s="16">
        <v>850</v>
      </c>
      <c r="G23" s="17">
        <v>24</v>
      </c>
      <c r="H23" s="18">
        <f t="shared" si="0"/>
        <v>20400</v>
      </c>
      <c r="I23" s="19" t="str">
        <f t="shared" si="1"/>
        <v>맛있는 오뚜기밥 210g.jpg</v>
      </c>
      <c r="J23" s="19"/>
      <c r="K23" s="9" t="str">
        <f t="shared" si="2"/>
        <v>{"ITM_SEQ":"20","TYPE":"식품","TYPE_DTL":"즉석밥","ITM_NM":"맛있는 오뚜기밥 210g","PRICE":"850","UNIT":"24","":"20400","IMG":"맛있는 오뚜기밥 210g.jpg"},</v>
      </c>
    </row>
    <row r="24" spans="2:11" ht="14.4" customHeight="1">
      <c r="B24" s="12">
        <v>21</v>
      </c>
      <c r="C24" s="13" t="s">
        <v>11</v>
      </c>
      <c r="D24" s="13" t="s">
        <v>14</v>
      </c>
      <c r="E24" s="19" t="s">
        <v>86</v>
      </c>
      <c r="F24" s="16">
        <v>800</v>
      </c>
      <c r="G24" s="17">
        <v>24</v>
      </c>
      <c r="H24" s="18">
        <f t="shared" si="0"/>
        <v>19200</v>
      </c>
      <c r="I24" s="19" t="str">
        <f t="shared" si="1"/>
        <v>햇반흑미밥 130g.jpg</v>
      </c>
      <c r="J24" s="19"/>
      <c r="K24" s="9" t="str">
        <f t="shared" si="2"/>
        <v>{"ITM_SEQ":"21","TYPE":"식품","TYPE_DTL":"즉석밥","ITM_NM":"햇반흑미밥 130g","PRICE":"800","UNIT":"24","":"19200","IMG":"햇반흑미밥 130g.jpg"},</v>
      </c>
    </row>
    <row r="25" spans="2:11" ht="14.4" customHeight="1">
      <c r="B25" s="20">
        <v>22</v>
      </c>
      <c r="C25" s="13" t="s">
        <v>11</v>
      </c>
      <c r="D25" s="13" t="s">
        <v>14</v>
      </c>
      <c r="E25" s="19" t="s">
        <v>85</v>
      </c>
      <c r="F25" s="16">
        <v>1010</v>
      </c>
      <c r="G25" s="17">
        <v>24</v>
      </c>
      <c r="H25" s="18">
        <f t="shared" si="0"/>
        <v>24240</v>
      </c>
      <c r="I25" s="19" t="str">
        <f t="shared" si="1"/>
        <v>햇반 매일잡곡밥 210g.jpg</v>
      </c>
      <c r="J25" s="19"/>
      <c r="K25" s="9" t="str">
        <f t="shared" si="2"/>
        <v>{"ITM_SEQ":"22","TYPE":"식품","TYPE_DTL":"즉석밥","ITM_NM":"햇반 매일잡곡밥 210g","PRICE":"1010","UNIT":"24","":"24240","IMG":"햇반 매일잡곡밥 210g.jpg"},</v>
      </c>
    </row>
    <row r="26" spans="2:11" ht="14.4" customHeight="1">
      <c r="B26" s="12">
        <v>23</v>
      </c>
      <c r="C26" s="13" t="s">
        <v>11</v>
      </c>
      <c r="D26" s="13" t="s">
        <v>65</v>
      </c>
      <c r="E26" s="19" t="s">
        <v>66</v>
      </c>
      <c r="F26" s="16">
        <v>530</v>
      </c>
      <c r="G26" s="17">
        <v>15</v>
      </c>
      <c r="H26" s="18">
        <f t="shared" si="0"/>
        <v>7950</v>
      </c>
      <c r="I26" s="19" t="str">
        <f t="shared" si="1"/>
        <v>오뚜기 컵누들 매콤한 맛.jpg</v>
      </c>
      <c r="J26" s="19"/>
      <c r="K26" s="9" t="str">
        <f t="shared" si="2"/>
        <v>{"ITM_SEQ":"23","TYPE":"식품","TYPE_DTL":"라면","ITM_NM":"오뚜기 컵누들 매콤한 맛","PRICE":"530","UNIT":"15","":"7950","IMG":"오뚜기 컵누들 매콤한 맛.jpg"},</v>
      </c>
    </row>
    <row r="27" spans="2:11" ht="14.4" customHeight="1">
      <c r="B27" s="20">
        <v>24</v>
      </c>
      <c r="C27" s="13" t="s">
        <v>11</v>
      </c>
      <c r="D27" s="13" t="s">
        <v>15</v>
      </c>
      <c r="E27" s="19" t="s">
        <v>70</v>
      </c>
      <c r="F27" s="16">
        <v>2550</v>
      </c>
      <c r="G27" s="17">
        <v>1</v>
      </c>
      <c r="H27" s="18">
        <f t="shared" si="0"/>
        <v>2550</v>
      </c>
      <c r="I27" s="19" t="str">
        <f t="shared" si="1"/>
        <v>쟈뎅 아워티 콤푸차 레몬 10p.jpg</v>
      </c>
      <c r="J27" s="19"/>
      <c r="K27" s="9" t="str">
        <f t="shared" si="2"/>
        <v>{"ITM_SEQ":"24","TYPE":"식품","TYPE_DTL":"차","ITM_NM":"쟈뎅 아워티 콤푸차 레몬 10p","PRICE":"2550","UNIT":"1","":"2550","IMG":"쟈뎅 아워티 콤푸차 레몬 10p.jpg"},</v>
      </c>
    </row>
    <row r="28" spans="2:11" ht="14.4" customHeight="1">
      <c r="B28" s="12">
        <v>25</v>
      </c>
      <c r="C28" s="13" t="s">
        <v>11</v>
      </c>
      <c r="D28" s="13" t="s">
        <v>15</v>
      </c>
      <c r="E28" s="19" t="s">
        <v>71</v>
      </c>
      <c r="F28" s="16">
        <v>2550</v>
      </c>
      <c r="G28" s="17">
        <v>1</v>
      </c>
      <c r="H28" s="18">
        <f t="shared" si="0"/>
        <v>2550</v>
      </c>
      <c r="I28" s="19" t="str">
        <f t="shared" si="1"/>
        <v>쟈뎅 아워티 콤푸차 베리 10p.jpg</v>
      </c>
      <c r="J28" s="19"/>
      <c r="K28" s="9" t="str">
        <f t="shared" si="2"/>
        <v>{"ITM_SEQ":"25","TYPE":"식품","TYPE_DTL":"차","ITM_NM":"쟈뎅 아워티 콤푸차 베리 10p","PRICE":"2550","UNIT":"1","":"2550","IMG":"쟈뎅 아워티 콤푸차 베리 10p.jpg"},</v>
      </c>
    </row>
    <row r="29" spans="2:11" ht="14.4" customHeight="1">
      <c r="B29" s="20">
        <v>26</v>
      </c>
      <c r="C29" s="13" t="s">
        <v>11</v>
      </c>
      <c r="D29" s="13" t="s">
        <v>15</v>
      </c>
      <c r="E29" s="27" t="s">
        <v>182</v>
      </c>
      <c r="F29" s="16">
        <v>2550</v>
      </c>
      <c r="G29" s="17">
        <v>1</v>
      </c>
      <c r="H29" s="18">
        <f t="shared" si="0"/>
        <v>2550</v>
      </c>
      <c r="I29" s="19" t="str">
        <f t="shared" si="1"/>
        <v>쟈뎅 아워티 콤푸차 자몽 10p.jpg</v>
      </c>
      <c r="J29" s="19"/>
      <c r="K29" s="9" t="str">
        <f t="shared" si="2"/>
        <v>{"ITM_SEQ":"26","TYPE":"식품","TYPE_DTL":"차","ITM_NM":"쟈뎅 아워티 콤푸차 자몽 10p","PRICE":"2550","UNIT":"1","":"2550","IMG":"쟈뎅 아워티 콤푸차 자몽 10p.jpg"},</v>
      </c>
    </row>
    <row r="30" spans="2:11" ht="14.4" customHeight="1">
      <c r="B30" s="12">
        <v>27</v>
      </c>
      <c r="C30" s="13" t="s">
        <v>11</v>
      </c>
      <c r="D30" s="13" t="s">
        <v>16</v>
      </c>
      <c r="E30" s="19" t="s">
        <v>61</v>
      </c>
      <c r="F30" s="16">
        <v>570</v>
      </c>
      <c r="G30" s="17">
        <v>8</v>
      </c>
      <c r="H30" s="18">
        <f t="shared" si="0"/>
        <v>4560</v>
      </c>
      <c r="I30" s="19" t="str">
        <f t="shared" si="1"/>
        <v>박카스맛젤리.jpg</v>
      </c>
      <c r="J30" s="19"/>
      <c r="K30" s="9" t="str">
        <f t="shared" si="2"/>
        <v>{"ITM_SEQ":"27","TYPE":"식품","TYPE_DTL":"캔디","ITM_NM":"박카스맛젤리","PRICE":"570","UNIT":"8","":"4560","IMG":"박카스맛젤리.jpg"},</v>
      </c>
    </row>
    <row r="31" spans="2:11" ht="14.4" customHeight="1">
      <c r="B31" s="20">
        <v>28</v>
      </c>
      <c r="C31" s="13" t="s">
        <v>11</v>
      </c>
      <c r="D31" s="13" t="s">
        <v>16</v>
      </c>
      <c r="E31" s="19" t="s">
        <v>68</v>
      </c>
      <c r="F31" s="16">
        <v>960</v>
      </c>
      <c r="G31" s="17">
        <v>8</v>
      </c>
      <c r="H31" s="18">
        <f t="shared" si="0"/>
        <v>7680</v>
      </c>
      <c r="I31" s="19" t="str">
        <f t="shared" si="1"/>
        <v>이클립스 페퍼민트향 34g.jpg</v>
      </c>
      <c r="J31" s="19"/>
      <c r="K31" s="9" t="str">
        <f t="shared" si="2"/>
        <v>{"ITM_SEQ":"28","TYPE":"식품","TYPE_DTL":"캔디","ITM_NM":"이클립스 페퍼민트향 34g","PRICE":"960","UNIT":"8","":"7680","IMG":"이클립스 페퍼민트향 34g.jpg"},</v>
      </c>
    </row>
    <row r="32" spans="2:11" ht="14.4" customHeight="1">
      <c r="B32" s="12">
        <v>29</v>
      </c>
      <c r="C32" s="13" t="s">
        <v>11</v>
      </c>
      <c r="D32" s="13" t="s">
        <v>16</v>
      </c>
      <c r="E32" s="19" t="s">
        <v>69</v>
      </c>
      <c r="F32" s="16">
        <v>990</v>
      </c>
      <c r="G32" s="17">
        <v>8</v>
      </c>
      <c r="H32" s="18">
        <f t="shared" si="0"/>
        <v>7920</v>
      </c>
      <c r="I32" s="19" t="str">
        <f t="shared" si="1"/>
        <v>이클립스 피치향 34g.jpg</v>
      </c>
      <c r="J32" s="19"/>
      <c r="K32" s="9" t="str">
        <f t="shared" si="2"/>
        <v>{"ITM_SEQ":"29","TYPE":"식품","TYPE_DTL":"캔디","ITM_NM":"이클립스 피치향 34g","PRICE":"990","UNIT":"8","":"7920","IMG":"이클립스 피치향 34g.jpg"},</v>
      </c>
    </row>
    <row r="33" spans="2:11" ht="14.4" customHeight="1">
      <c r="B33" s="20">
        <v>30</v>
      </c>
      <c r="C33" s="13" t="s">
        <v>11</v>
      </c>
      <c r="D33" s="26" t="s">
        <v>226</v>
      </c>
      <c r="E33" s="19" t="s">
        <v>37</v>
      </c>
      <c r="F33" s="16">
        <v>36960</v>
      </c>
      <c r="G33" s="17">
        <v>1</v>
      </c>
      <c r="H33" s="18">
        <f t="shared" si="0"/>
        <v>36960</v>
      </c>
      <c r="I33" s="19" t="str">
        <f t="shared" si="1"/>
        <v>맥스빌더.jpg</v>
      </c>
      <c r="J33" s="19"/>
      <c r="K33" s="9" t="str">
        <f t="shared" si="2"/>
        <v>{"ITM_SEQ":"30","TYPE":"식품","TYPE_DTL":"건강","ITM_NM":"맥스빌더","PRICE":"36960","UNIT":"1","":"36960","IMG":"맥스빌더.jpg"},</v>
      </c>
    </row>
    <row r="34" spans="2:11" ht="14.4" customHeight="1">
      <c r="B34" s="12">
        <v>31</v>
      </c>
      <c r="C34" s="13" t="s">
        <v>11</v>
      </c>
      <c r="D34" s="13" t="s">
        <v>42</v>
      </c>
      <c r="E34" s="19" t="s">
        <v>43</v>
      </c>
      <c r="F34" s="16">
        <v>440</v>
      </c>
      <c r="G34" s="17">
        <v>12</v>
      </c>
      <c r="H34" s="18">
        <f t="shared" si="0"/>
        <v>5280</v>
      </c>
      <c r="I34" s="19" t="str">
        <f t="shared" si="1"/>
        <v>롯데햄 키스틱 더블치즈 소시지.jpg</v>
      </c>
      <c r="J34" s="19"/>
      <c r="K34" s="9" t="str">
        <f t="shared" si="2"/>
        <v>{"ITM_SEQ":"31","TYPE":"식품","TYPE_DTL":"소세지","ITM_NM":"롯데햄 키스틱 더블치즈 소시지","PRICE":"440","UNIT":"12","":"5280","IMG":"롯데햄 키스틱 더블치즈 소시지.jpg"},</v>
      </c>
    </row>
    <row r="35" spans="2:11" ht="14.4" customHeight="1">
      <c r="B35" s="20">
        <v>32</v>
      </c>
      <c r="C35" s="13" t="s">
        <v>11</v>
      </c>
      <c r="D35" s="13" t="s">
        <v>42</v>
      </c>
      <c r="E35" s="19" t="s">
        <v>44</v>
      </c>
      <c r="F35" s="16">
        <v>660</v>
      </c>
      <c r="G35" s="17">
        <v>12</v>
      </c>
      <c r="H35" s="18">
        <f t="shared" si="0"/>
        <v>7920</v>
      </c>
      <c r="I35" s="19" t="str">
        <f t="shared" si="1"/>
        <v>키스틱.jpg</v>
      </c>
      <c r="J35" s="19"/>
      <c r="K35" s="9" t="str">
        <f t="shared" si="2"/>
        <v>{"ITM_SEQ":"32","TYPE":"식품","TYPE_DTL":"소세지","ITM_NM":"키스틱","PRICE":"660","UNIT":"12","":"7920","IMG":"키스틱.jpg"},</v>
      </c>
    </row>
    <row r="36" spans="2:11" ht="14.4" customHeight="1">
      <c r="B36" s="12">
        <v>33</v>
      </c>
      <c r="C36" s="13" t="s">
        <v>11</v>
      </c>
      <c r="D36" s="13" t="s">
        <v>45</v>
      </c>
      <c r="E36" s="19" t="s">
        <v>78</v>
      </c>
      <c r="F36" s="16">
        <v>960</v>
      </c>
      <c r="G36" s="17">
        <v>10</v>
      </c>
      <c r="H36" s="18">
        <f t="shared" ref="H36:H67" si="3">F36*G36</f>
        <v>9600</v>
      </c>
      <c r="I36" s="19" t="str">
        <f t="shared" ref="I36:I67" si="4">_xlfn.CONCAT(E36, ".jpg")</f>
        <v>퀘이커 마시는오트밀 오트&amp;그레인, 50g.jpg</v>
      </c>
      <c r="J36" s="19"/>
      <c r="K36" s="9" t="str">
        <f t="shared" si="2"/>
        <v>{"ITM_SEQ":"33","TYPE":"식품","TYPE_DTL":"쉐이크","ITM_NM":"퀘이커 마시는오트밀 오트&amp;그레인, 50g","PRICE":"960","UNIT":"10","":"9600","IMG":"퀘이커 마시는오트밀 오트&amp;그레인, 50g.jpg"},</v>
      </c>
    </row>
    <row r="37" spans="2:11" ht="14.4" customHeight="1">
      <c r="B37" s="20">
        <v>34</v>
      </c>
      <c r="C37" s="13" t="s">
        <v>11</v>
      </c>
      <c r="D37" s="13" t="s">
        <v>45</v>
      </c>
      <c r="E37" s="19" t="s">
        <v>76</v>
      </c>
      <c r="F37" s="16">
        <v>940</v>
      </c>
      <c r="G37" s="17">
        <v>10</v>
      </c>
      <c r="H37" s="18">
        <f t="shared" si="3"/>
        <v>9400</v>
      </c>
      <c r="I37" s="19" t="str">
        <f t="shared" si="4"/>
        <v>퀘이커 마시는 오트밀 오트&amp;우리쌀, 50g.jpg</v>
      </c>
      <c r="J37" s="19"/>
      <c r="K37" s="9" t="str">
        <f t="shared" si="2"/>
        <v>{"ITM_SEQ":"34","TYPE":"식품","TYPE_DTL":"쉐이크","ITM_NM":"퀘이커 마시는 오트밀 오트&amp;우리쌀, 50g","PRICE":"940","UNIT":"10","":"9400","IMG":"퀘이커 마시는 오트밀 오트&amp;우리쌀, 50g.jpg"},</v>
      </c>
    </row>
    <row r="38" spans="2:11" ht="14.4" customHeight="1">
      <c r="B38" s="12">
        <v>35</v>
      </c>
      <c r="C38" s="13" t="s">
        <v>11</v>
      </c>
      <c r="D38" s="13" t="s">
        <v>45</v>
      </c>
      <c r="E38" s="19" t="s">
        <v>75</v>
      </c>
      <c r="F38" s="16">
        <v>1390</v>
      </c>
      <c r="G38" s="17">
        <v>10</v>
      </c>
      <c r="H38" s="18">
        <f t="shared" si="3"/>
        <v>13900</v>
      </c>
      <c r="I38" s="19" t="str">
        <f t="shared" si="4"/>
        <v>퀘이커 마시는 오트밀 단백질, 80g.jpg</v>
      </c>
      <c r="J38" s="19"/>
      <c r="K38" s="9" t="str">
        <f t="shared" si="2"/>
        <v>{"ITM_SEQ":"35","TYPE":"식품","TYPE_DTL":"쉐이크","ITM_NM":"퀘이커 마시는 오트밀 단백질, 80g","PRICE":"1390","UNIT":"10","":"13900","IMG":"퀘이커 마시는 오트밀 단백질, 80g.jpg"},</v>
      </c>
    </row>
    <row r="39" spans="2:11" ht="14.4" customHeight="1">
      <c r="B39" s="20">
        <v>36</v>
      </c>
      <c r="C39" s="13" t="s">
        <v>11</v>
      </c>
      <c r="D39" s="13" t="s">
        <v>45</v>
      </c>
      <c r="E39" s="19" t="s">
        <v>77</v>
      </c>
      <c r="F39" s="16">
        <v>1080</v>
      </c>
      <c r="G39" s="17">
        <v>10</v>
      </c>
      <c r="H39" s="18">
        <f t="shared" si="3"/>
        <v>10800</v>
      </c>
      <c r="I39" s="19" t="str">
        <f t="shared" si="4"/>
        <v>퀘이커 마시는 오트밀 찰옥수수, 50g.jpg</v>
      </c>
      <c r="J39" s="19"/>
      <c r="K39" s="9" t="str">
        <f t="shared" si="2"/>
        <v>{"ITM_SEQ":"36","TYPE":"식품","TYPE_DTL":"쉐이크","ITM_NM":"퀘이커 마시는 오트밀 찰옥수수, 50g","PRICE":"1080","UNIT":"10","":"10800","IMG":"퀘이커 마시는 오트밀 찰옥수수, 50g.jpg"},</v>
      </c>
    </row>
    <row r="40" spans="2:11" ht="14.4" customHeight="1">
      <c r="B40" s="12">
        <v>37</v>
      </c>
      <c r="C40" s="13" t="s">
        <v>17</v>
      </c>
      <c r="D40" s="13" t="s">
        <v>18</v>
      </c>
      <c r="E40" s="19" t="s">
        <v>38</v>
      </c>
      <c r="F40" s="16">
        <v>480</v>
      </c>
      <c r="G40" s="17">
        <v>10</v>
      </c>
      <c r="H40" s="18">
        <f t="shared" si="3"/>
        <v>4800</v>
      </c>
      <c r="I40" s="19" t="str">
        <f t="shared" si="4"/>
        <v>SNP 골드 콜라겐 앰플 마스크.jpg</v>
      </c>
      <c r="J40" s="19"/>
      <c r="K40" s="9" t="str">
        <f t="shared" si="2"/>
        <v>{"ITM_SEQ":"37","TYPE":"화장품","TYPE_DTL":"마스크팩","ITM_NM":"SNP 골드 콜라겐 앰플 마스크","PRICE":"480","UNIT":"10","":"4800","IMG":"SNP 골드 콜라겐 앰플 마스크.jpg"},</v>
      </c>
    </row>
    <row r="41" spans="2:11" ht="14.4" customHeight="1">
      <c r="B41" s="20">
        <v>38</v>
      </c>
      <c r="C41" s="13" t="s">
        <v>17</v>
      </c>
      <c r="D41" s="13" t="s">
        <v>18</v>
      </c>
      <c r="E41" s="19" t="s">
        <v>59</v>
      </c>
      <c r="F41" s="16">
        <v>700</v>
      </c>
      <c r="G41" s="17">
        <v>10</v>
      </c>
      <c r="H41" s="18">
        <f t="shared" si="3"/>
        <v>7000</v>
      </c>
      <c r="I41" s="19" t="str">
        <f t="shared" si="4"/>
        <v>메디힐 디엔에이 프로아틴 마스크.jpg</v>
      </c>
      <c r="J41" s="19"/>
      <c r="K41" s="9" t="str">
        <f t="shared" si="2"/>
        <v>{"ITM_SEQ":"38","TYPE":"화장품","TYPE_DTL":"마스크팩","ITM_NM":"메디힐 디엔에이 프로아틴 마스크","PRICE":"700","UNIT":"10","":"7000","IMG":"메디힐 디엔에이 프로아틴 마스크.jpg"},</v>
      </c>
    </row>
    <row r="42" spans="2:11" ht="14.4" customHeight="1">
      <c r="B42" s="12">
        <v>39</v>
      </c>
      <c r="C42" s="13" t="s">
        <v>17</v>
      </c>
      <c r="D42" s="13" t="s">
        <v>19</v>
      </c>
      <c r="E42" s="19" t="s">
        <v>56</v>
      </c>
      <c r="F42" s="16">
        <v>4750</v>
      </c>
      <c r="G42" s="17">
        <v>1</v>
      </c>
      <c r="H42" s="18">
        <f t="shared" si="3"/>
        <v>4750</v>
      </c>
      <c r="I42" s="19" t="str">
        <f t="shared" si="4"/>
        <v>닥터지 메디유브이 울트라 선 50ml.jpg</v>
      </c>
      <c r="J42" s="19"/>
      <c r="K42" s="9" t="str">
        <f t="shared" si="2"/>
        <v>{"ITM_SEQ":"39","TYPE":"화장품","TYPE_DTL":"선크림","ITM_NM":"닥터지 메디유브이 울트라 선 50ml","PRICE":"4750","UNIT":"1","":"4750","IMG":"닥터지 메디유브이 울트라 선 50ml.jpg"},</v>
      </c>
    </row>
    <row r="43" spans="2:11" ht="14.4" customHeight="1">
      <c r="B43" s="20">
        <v>40</v>
      </c>
      <c r="C43" s="13" t="s">
        <v>17</v>
      </c>
      <c r="D43" s="13" t="s">
        <v>19</v>
      </c>
      <c r="E43" s="19" t="s">
        <v>39</v>
      </c>
      <c r="F43" s="16">
        <v>8800</v>
      </c>
      <c r="G43" s="17">
        <v>1</v>
      </c>
      <c r="H43" s="18">
        <f t="shared" si="3"/>
        <v>8800</v>
      </c>
      <c r="I43" s="19" t="str">
        <f t="shared" si="4"/>
        <v>AHC 내추럴 퍼펙션 프레쉬선스틱.jpg</v>
      </c>
      <c r="J43" s="19"/>
      <c r="K43" s="9" t="str">
        <f t="shared" si="2"/>
        <v>{"ITM_SEQ":"40","TYPE":"화장품","TYPE_DTL":"선크림","ITM_NM":"AHC 내추럴 퍼펙션 프레쉬선스틱","PRICE":"8800","UNIT":"1","":"8800","IMG":"AHC 내추럴 퍼펙션 프레쉬선스틱.jpg"},</v>
      </c>
    </row>
    <row r="44" spans="2:11" ht="14.4" customHeight="1">
      <c r="B44" s="12">
        <v>41</v>
      </c>
      <c r="C44" s="13" t="s">
        <v>17</v>
      </c>
      <c r="D44" s="13" t="s">
        <v>20</v>
      </c>
      <c r="E44" s="19" t="s">
        <v>40</v>
      </c>
      <c r="F44" s="16">
        <v>5560</v>
      </c>
      <c r="G44" s="17">
        <v>1</v>
      </c>
      <c r="H44" s="18">
        <f t="shared" si="3"/>
        <v>5560</v>
      </c>
      <c r="I44" s="19" t="str">
        <f t="shared" si="4"/>
        <v>AHC프라이빗 리얼아이크림기프트세트.jpg</v>
      </c>
      <c r="J44" s="19"/>
      <c r="K44" s="9" t="str">
        <f t="shared" si="2"/>
        <v>{"ITM_SEQ":"41","TYPE":"화장품","TYPE_DTL":"아이크림","ITM_NM":"AHC프라이빗 리얼아이크림기프트세트","PRICE":"5560","UNIT":"1","":"5560","IMG":"AHC프라이빗 리얼아이크림기프트세트.jpg"},</v>
      </c>
    </row>
    <row r="45" spans="2:11" ht="14.4" customHeight="1">
      <c r="B45" s="20">
        <v>42</v>
      </c>
      <c r="C45" s="13" t="s">
        <v>17</v>
      </c>
      <c r="D45" s="13" t="s">
        <v>21</v>
      </c>
      <c r="E45" s="19" t="s">
        <v>57</v>
      </c>
      <c r="F45" s="16">
        <v>4710</v>
      </c>
      <c r="G45" s="17">
        <v>1</v>
      </c>
      <c r="H45" s="18">
        <f t="shared" si="3"/>
        <v>4710</v>
      </c>
      <c r="I45" s="19" t="str">
        <f t="shared" si="4"/>
        <v>마녀공장 비피다 바이옴 수분 장벽 강화 크림 기획세트.jpg</v>
      </c>
      <c r="J45" s="19"/>
      <c r="K45" s="9" t="str">
        <f t="shared" si="2"/>
        <v>{"ITM_SEQ":"42","TYPE":"화장품","TYPE_DTL":"영양크림","ITM_NM":"마녀공장 비피다 바이옴 수분 장벽 강화 크림 기획세트","PRICE":"4710","UNIT":"1","":"4710","IMG":"마녀공장 비피다 바이옴 수분 장벽 강화 크림 기획세트.jpg"},</v>
      </c>
    </row>
    <row r="46" spans="2:11" ht="14.4" customHeight="1">
      <c r="B46" s="12">
        <v>43</v>
      </c>
      <c r="C46" s="13" t="s">
        <v>17</v>
      </c>
      <c r="D46" s="13" t="s">
        <v>21</v>
      </c>
      <c r="E46" s="19" t="s">
        <v>67</v>
      </c>
      <c r="F46" s="16">
        <v>7900</v>
      </c>
      <c r="G46" s="17">
        <v>1</v>
      </c>
      <c r="H46" s="18">
        <f t="shared" si="3"/>
        <v>7900</v>
      </c>
      <c r="I46" s="19" t="str">
        <f t="shared" si="4"/>
        <v>이니스프리 퍼펙트9인텐시브 크림.jpg</v>
      </c>
      <c r="J46" s="19"/>
      <c r="K46" s="9" t="str">
        <f t="shared" si="2"/>
        <v>{"ITM_SEQ":"43","TYPE":"화장품","TYPE_DTL":"영양크림","ITM_NM":"이니스프리 퍼펙트9인텐시브 크림","PRICE":"7900","UNIT":"1","":"7900","IMG":"이니스프리 퍼펙트9인텐시브 크림.jpg"},</v>
      </c>
    </row>
    <row r="47" spans="2:11" ht="14.4" customHeight="1">
      <c r="B47" s="20">
        <v>44</v>
      </c>
      <c r="C47" s="13" t="s">
        <v>17</v>
      </c>
      <c r="D47" s="13" t="s">
        <v>21</v>
      </c>
      <c r="E47" s="19" t="s">
        <v>55</v>
      </c>
      <c r="F47" s="16">
        <v>10080</v>
      </c>
      <c r="G47" s="17">
        <v>1</v>
      </c>
      <c r="H47" s="18">
        <f t="shared" si="3"/>
        <v>10080</v>
      </c>
      <c r="I47" s="19" t="str">
        <f t="shared" si="4"/>
        <v>닥터지 로얄 블랙스네일 크림.jpg</v>
      </c>
      <c r="J47" s="19"/>
      <c r="K47" s="9" t="str">
        <f t="shared" si="2"/>
        <v>{"ITM_SEQ":"44","TYPE":"화장품","TYPE_DTL":"영양크림","ITM_NM":"닥터지 로얄 블랙스네일 크림","PRICE":"10080","UNIT":"1","":"10080","IMG":"닥터지 로얄 블랙스네일 크림.jpg"},</v>
      </c>
    </row>
    <row r="48" spans="2:11" ht="14.4" customHeight="1">
      <c r="B48" s="12">
        <v>45</v>
      </c>
      <c r="C48" s="13" t="s">
        <v>17</v>
      </c>
      <c r="D48" s="13" t="s">
        <v>21</v>
      </c>
      <c r="E48" s="19" t="s">
        <v>63</v>
      </c>
      <c r="F48" s="16">
        <v>14090</v>
      </c>
      <c r="G48" s="17">
        <v>1</v>
      </c>
      <c r="H48" s="18">
        <f t="shared" si="3"/>
        <v>14090</v>
      </c>
      <c r="I48" s="19" t="str">
        <f t="shared" si="4"/>
        <v>아이소이 탄력크림EX.jpg</v>
      </c>
      <c r="J48" s="19"/>
      <c r="K48" s="9" t="str">
        <f t="shared" ref="K48" si="5">_xlfn.CONCAT("{""",$B$3,""":""",B48,""",""",$C$3,""":""",C48,""",""",$D$3,""":""",D48,""",""",$E$3,""":""",E48,""",""",$F$3,""":""",F48,""",""",$G$3,""":""",G48,""",""",$H$3,""":""",H48,""",""",$I$3,""":""",I48,"""},")</f>
        <v>{"ITM_SEQ":"45","TYPE":"화장품","TYPE_DTL":"영양크림","ITM_NM":"아이소이 탄력크림EX","PRICE":"14090","UNIT":"1","":"14090","IMG":"아이소이 탄력크림EX.jpg"},</v>
      </c>
    </row>
    <row r="49" spans="2:11" ht="14.4" customHeight="1">
      <c r="B49" s="20">
        <v>46</v>
      </c>
      <c r="C49" s="13" t="s">
        <v>17</v>
      </c>
      <c r="D49" s="13" t="s">
        <v>21</v>
      </c>
      <c r="E49" s="19" t="s">
        <v>51</v>
      </c>
      <c r="F49" s="16">
        <v>38930</v>
      </c>
      <c r="G49" s="17">
        <v>1</v>
      </c>
      <c r="H49" s="18">
        <f t="shared" si="3"/>
        <v>38930</v>
      </c>
      <c r="I49" s="19" t="str">
        <f t="shared" si="4"/>
        <v>다이아몬드 리페어 퍼펙트 세트.jpg</v>
      </c>
      <c r="J49" s="19" t="s">
        <v>22</v>
      </c>
      <c r="K49" s="9" t="str">
        <f t="shared" si="2"/>
        <v>{"ITM_SEQ":"46","TYPE":"화장품","TYPE_DTL":"영양크림","ITM_NM":"다이아몬드 리페어 퍼펙트 세트","PRICE":"38930","UNIT":"1","":"38930","IMG":"다이아몬드 리페어 퍼펙트 세트.jpg"},</v>
      </c>
    </row>
    <row r="50" spans="2:11" ht="14.4" customHeight="1">
      <c r="B50" s="12">
        <v>47</v>
      </c>
      <c r="C50" s="13" t="s">
        <v>17</v>
      </c>
      <c r="D50" s="13" t="s">
        <v>23</v>
      </c>
      <c r="E50" s="19" t="s">
        <v>52</v>
      </c>
      <c r="F50" s="16">
        <v>4320</v>
      </c>
      <c r="G50" s="17">
        <v>1</v>
      </c>
      <c r="H50" s="18">
        <f t="shared" si="3"/>
        <v>4320</v>
      </c>
      <c r="I50" s="19" t="str">
        <f t="shared" si="4"/>
        <v>닥터지 레드 블레미쉬 모이스처 클렌징 폼.jpg</v>
      </c>
      <c r="J50" s="19"/>
      <c r="K50" s="9" t="str">
        <f t="shared" si="2"/>
        <v>{"ITM_SEQ":"47","TYPE":"화장품","TYPE_DTL":"폼클렌징","ITM_NM":"닥터지 레드 블레미쉬 모이스처 클렌징 폼","PRICE":"4320","UNIT":"1","":"4320","IMG":"닥터지 레드 블레미쉬 모이스처 클렌징 폼.jpg"},</v>
      </c>
    </row>
    <row r="51" spans="2:11" ht="14.4" customHeight="1">
      <c r="B51" s="20">
        <v>48</v>
      </c>
      <c r="C51" s="13" t="s">
        <v>17</v>
      </c>
      <c r="D51" s="13" t="s">
        <v>23</v>
      </c>
      <c r="E51" s="19" t="s">
        <v>49</v>
      </c>
      <c r="F51" s="16">
        <v>4390</v>
      </c>
      <c r="G51" s="17">
        <v>1</v>
      </c>
      <c r="H51" s="18">
        <f t="shared" si="3"/>
        <v>4390</v>
      </c>
      <c r="I51" s="19" t="str">
        <f t="shared" si="4"/>
        <v>뉴트로지나 딥클린 아크네 포밍.jpg</v>
      </c>
      <c r="J51" s="19"/>
      <c r="K51" s="9" t="str">
        <f t="shared" si="2"/>
        <v>{"ITM_SEQ":"48","TYPE":"화장품","TYPE_DTL":"폼클렌징","ITM_NM":"뉴트로지나 딥클린 아크네 포밍","PRICE":"4390","UNIT":"1","":"4390","IMG":"뉴트로지나 딥클린 아크네 포밍.jpg"},</v>
      </c>
    </row>
    <row r="52" spans="2:11" ht="14.4" customHeight="1">
      <c r="B52" s="12">
        <v>49</v>
      </c>
      <c r="C52" s="13" t="s">
        <v>17</v>
      </c>
      <c r="D52" s="13" t="s">
        <v>53</v>
      </c>
      <c r="E52" s="19" t="s">
        <v>54</v>
      </c>
      <c r="F52" s="16">
        <v>10140</v>
      </c>
      <c r="G52" s="17">
        <v>1</v>
      </c>
      <c r="H52" s="18">
        <f t="shared" si="3"/>
        <v>10140</v>
      </c>
      <c r="I52" s="19" t="str">
        <f t="shared" si="4"/>
        <v>닥터지 레드 블레미쉬 클리어 수딩 토너, 500ml.jpg</v>
      </c>
      <c r="J52" s="19"/>
      <c r="K52" s="9" t="str">
        <f t="shared" si="2"/>
        <v>{"ITM_SEQ":"49","TYPE":"화장품","TYPE_DTL":"토너","ITM_NM":"닥터지 레드 블레미쉬 클리어 수딩 토너, 500ml","PRICE":"10140","UNIT":"1","":"10140","IMG":"닥터지 레드 블레미쉬 클리어 수딩 토너, 500ml.jpg"},</v>
      </c>
    </row>
    <row r="53" spans="2:11" ht="14.4" customHeight="1">
      <c r="B53" s="20">
        <v>50</v>
      </c>
      <c r="C53" s="13" t="s">
        <v>11</v>
      </c>
      <c r="D53" s="14" t="s">
        <v>218</v>
      </c>
      <c r="E53" s="24" t="s">
        <v>161</v>
      </c>
      <c r="F53" s="16">
        <v>21840</v>
      </c>
      <c r="G53" s="17">
        <v>1</v>
      </c>
      <c r="H53" s="18">
        <f t="shared" si="3"/>
        <v>21840</v>
      </c>
      <c r="I53" s="19" t="str">
        <f t="shared" si="4"/>
        <v>데체코 올리오 엑스트라 버진 디 올리바, 1L.jpg</v>
      </c>
      <c r="J53" s="19"/>
      <c r="K53" s="9" t="str">
        <f t="shared" si="2"/>
        <v>{"ITM_SEQ":"50","TYPE":"식품","TYPE_DTL":"소스","ITM_NM":"데체코 올리오 엑스트라 버진 디 올리바, 1L","PRICE":"21840","UNIT":"1","":"21840","IMG":"데체코 올리오 엑스트라 버진 디 올리바, 1L.jpg"},</v>
      </c>
    </row>
    <row r="54" spans="2:11" ht="14.4" customHeight="1">
      <c r="B54" s="12">
        <v>51</v>
      </c>
      <c r="C54" s="13" t="s">
        <v>17</v>
      </c>
      <c r="D54" s="37" t="s">
        <v>862</v>
      </c>
      <c r="E54" s="24" t="s">
        <v>166</v>
      </c>
      <c r="F54" s="16">
        <v>5000</v>
      </c>
      <c r="G54" s="17">
        <v>1</v>
      </c>
      <c r="H54" s="18">
        <f t="shared" si="3"/>
        <v>5000</v>
      </c>
      <c r="I54" s="19" t="str">
        <f t="shared" si="4"/>
        <v>바세린 리프팅 리페어 로션 450ml.jpg</v>
      </c>
      <c r="J54" s="19"/>
      <c r="K54" s="9" t="str">
        <f t="shared" ref="K54:K88" si="6">_xlfn.CONCAT("{""",$B$3,""":""",B54,""",""",$C$3,""":""",C54,""",""",$D$3,""":""",D54,""",""",$E$3,""":""",E54,""",""",$F$3,""":""",F54,""",""",$G$3,""":""",G54,""",""",$H$3,""":""",H54,""",""",$I$3,""":""",I54,"""},")</f>
        <v>{"ITM_SEQ":"51","TYPE":"화장품","TYPE_DTL":"로션/에멀전","ITM_NM":"바세린 리프팅 리페어 로션 450ml","PRICE":"5000","UNIT":"1","":"5000","IMG":"바세린 리프팅 리페어 로션 450ml.jpg"},</v>
      </c>
    </row>
    <row r="55" spans="2:11" ht="14.4" customHeight="1">
      <c r="B55" s="20">
        <v>52</v>
      </c>
      <c r="C55" s="13" t="s">
        <v>17</v>
      </c>
      <c r="D55" s="13" t="s">
        <v>18</v>
      </c>
      <c r="E55" s="21" t="s">
        <v>144</v>
      </c>
      <c r="F55" s="16">
        <v>11800</v>
      </c>
      <c r="G55" s="17">
        <v>1</v>
      </c>
      <c r="H55" s="18">
        <f t="shared" si="3"/>
        <v>11800</v>
      </c>
      <c r="I55" s="19" t="str">
        <f t="shared" si="4"/>
        <v>라운드랩 1025 독도 수분 워터겔 마스크 30ml.jpg</v>
      </c>
      <c r="J55" s="19"/>
      <c r="K55" s="9" t="str">
        <f t="shared" si="6"/>
        <v>{"ITM_SEQ":"52","TYPE":"화장품","TYPE_DTL":"마스크팩","ITM_NM":"라운드랩 1025 독도 수분 워터겔 마스크 30ml","PRICE":"11800","UNIT":"1","":"11800","IMG":"라운드랩 1025 독도 수분 워터겔 마스크 30ml.jpg"},</v>
      </c>
    </row>
    <row r="56" spans="2:11" ht="14.4" customHeight="1">
      <c r="B56" s="12">
        <v>53</v>
      </c>
      <c r="C56" s="13" t="s">
        <v>17</v>
      </c>
      <c r="D56" s="13" t="s">
        <v>18</v>
      </c>
      <c r="E56" s="19" t="s">
        <v>99</v>
      </c>
      <c r="F56" s="16">
        <v>800</v>
      </c>
      <c r="G56" s="17">
        <v>10</v>
      </c>
      <c r="H56" s="18">
        <f t="shared" si="3"/>
        <v>8000</v>
      </c>
      <c r="I56" s="19" t="str">
        <f t="shared" si="4"/>
        <v>메디힐 WHP 미백수분 블랙마스크.jpg</v>
      </c>
      <c r="J56" s="19"/>
      <c r="K56" s="9" t="str">
        <f t="shared" si="6"/>
        <v>{"ITM_SEQ":"53","TYPE":"화장품","TYPE_DTL":"마스크팩","ITM_NM":"메디힐 WHP 미백수분 블랙마스크","PRICE":"800","UNIT":"10","":"8000","IMG":"메디힐 WHP 미백수분 블랙마스크.jpg"},</v>
      </c>
    </row>
    <row r="57" spans="2:11" ht="14.4" customHeight="1">
      <c r="B57" s="20">
        <v>54</v>
      </c>
      <c r="C57" s="13" t="s">
        <v>6</v>
      </c>
      <c r="D57" s="14" t="s">
        <v>232</v>
      </c>
      <c r="E57" s="24" t="s">
        <v>136</v>
      </c>
      <c r="F57" s="16">
        <v>3500</v>
      </c>
      <c r="G57" s="17">
        <v>1</v>
      </c>
      <c r="H57" s="18">
        <f t="shared" si="3"/>
        <v>3500</v>
      </c>
      <c r="I57" s="19" t="str">
        <f t="shared" si="4"/>
        <v>니베아 맨 센서티브 쉐이빙 폼, 250ml.jpg</v>
      </c>
      <c r="J57" s="19"/>
      <c r="K57" s="9" t="str">
        <f t="shared" si="6"/>
        <v>{"ITM_SEQ":"54","TYPE":"기타","TYPE_DTL":"면도기","ITM_NM":"니베아 맨 센서티브 쉐이빙 폼, 250ml","PRICE":"3500","UNIT":"1","":"3500","IMG":"니베아 맨 센서티브 쉐이빙 폼, 250ml.jpg"},</v>
      </c>
    </row>
    <row r="58" spans="2:11" ht="14.4" customHeight="1">
      <c r="B58" s="12">
        <v>55</v>
      </c>
      <c r="C58" s="26" t="s">
        <v>89</v>
      </c>
      <c r="D58" s="14" t="s">
        <v>240</v>
      </c>
      <c r="E58" s="24" t="s">
        <v>190</v>
      </c>
      <c r="F58" s="16">
        <v>4780</v>
      </c>
      <c r="G58" s="17">
        <v>1</v>
      </c>
      <c r="H58" s="18">
        <f t="shared" si="3"/>
        <v>4780</v>
      </c>
      <c r="I58" s="19" t="str">
        <f t="shared" si="4"/>
        <v>부케가르니 나드 샴푸 시그니처 500ml.jpg</v>
      </c>
      <c r="J58" s="19"/>
      <c r="K58" s="9" t="str">
        <f t="shared" si="6"/>
        <v>{"ITM_SEQ":"55","TYPE":"기타","TYPE_DTL":"두피","ITM_NM":"부케가르니 나드 샴푸 시그니처 500ml","PRICE":"4780","UNIT":"1","":"4780","IMG":"부케가르니 나드 샴푸 시그니처 500ml.jpg"},</v>
      </c>
    </row>
    <row r="59" spans="2:11" ht="14.4" customHeight="1">
      <c r="B59" s="20">
        <v>56</v>
      </c>
      <c r="C59" s="13" t="s">
        <v>17</v>
      </c>
      <c r="D59" s="37" t="s">
        <v>862</v>
      </c>
      <c r="E59" s="24" t="s">
        <v>167</v>
      </c>
      <c r="F59" s="16">
        <v>6910</v>
      </c>
      <c r="G59" s="17">
        <v>1</v>
      </c>
      <c r="H59" s="18">
        <f t="shared" si="3"/>
        <v>6910</v>
      </c>
      <c r="I59" s="19" t="str">
        <f t="shared" si="4"/>
        <v>비알티씨 파워 옴므 올인원 솔루션 기획세트 200ML+50ML.jpg</v>
      </c>
      <c r="J59" s="19"/>
      <c r="K59" s="9" t="str">
        <f t="shared" si="6"/>
        <v>{"ITM_SEQ":"56","TYPE":"화장품","TYPE_DTL":"로션/에멀전","ITM_NM":"비알티씨 파워 옴므 올인원 솔루션 기획세트 200ML+50ML","PRICE":"6910","UNIT":"1","":"6910","IMG":"비알티씨 파워 옴므 올인원 솔루션 기획세트 200ML+50ML.jpg"},</v>
      </c>
    </row>
    <row r="60" spans="2:11" ht="14.4" customHeight="1">
      <c r="B60" s="12">
        <v>57</v>
      </c>
      <c r="C60" s="26" t="s">
        <v>229</v>
      </c>
      <c r="D60" s="14" t="s">
        <v>241</v>
      </c>
      <c r="E60" s="24" t="s">
        <v>168</v>
      </c>
      <c r="F60" s="16">
        <v>7150</v>
      </c>
      <c r="G60" s="17">
        <v>1</v>
      </c>
      <c r="H60" s="18">
        <f t="shared" si="3"/>
        <v>7150</v>
      </c>
      <c r="I60" s="19" t="str">
        <f t="shared" si="4"/>
        <v>비욘드 바디 디펜스 샤워 450ml.jpg</v>
      </c>
      <c r="J60" s="19"/>
      <c r="K60" s="9" t="str">
        <f t="shared" si="6"/>
        <v>{"ITM_SEQ":"57","TYPE":"기타","TYPE_DTL":"바디","ITM_NM":"비욘드 바디 디펜스 샤워 450ml","PRICE":"7150","UNIT":"1","":"7150","IMG":"비욘드 바디 디펜스 샤워 450ml.jpg"},</v>
      </c>
    </row>
    <row r="61" spans="2:11" ht="14.4" customHeight="1">
      <c r="B61" s="20">
        <v>58</v>
      </c>
      <c r="C61" s="26" t="s">
        <v>229</v>
      </c>
      <c r="D61" s="14" t="s">
        <v>241</v>
      </c>
      <c r="E61" s="24" t="s">
        <v>169</v>
      </c>
      <c r="F61" s="16">
        <v>10890</v>
      </c>
      <c r="G61" s="17">
        <v>1</v>
      </c>
      <c r="H61" s="18">
        <f t="shared" si="3"/>
        <v>10890</v>
      </c>
      <c r="I61" s="19" t="str">
        <f t="shared" si="4"/>
        <v>비욘드 바디 디펜스 에멀전 450ml.jpg</v>
      </c>
      <c r="J61" s="19"/>
      <c r="K61" s="9" t="str">
        <f t="shared" si="6"/>
        <v>{"ITM_SEQ":"58","TYPE":"기타","TYPE_DTL":"바디","ITM_NM":"비욘드 바디 디펜스 에멀전 450ml","PRICE":"10890","UNIT":"1","":"10890","IMG":"비욘드 바디 디펜스 에멀전 450ml.jpg"},</v>
      </c>
    </row>
    <row r="62" spans="2:11" ht="14.4" customHeight="1">
      <c r="B62" s="12">
        <v>59</v>
      </c>
      <c r="C62" s="13" t="s">
        <v>17</v>
      </c>
      <c r="D62" s="36" t="s">
        <v>20</v>
      </c>
      <c r="E62" s="24" t="s">
        <v>170</v>
      </c>
      <c r="F62" s="16">
        <v>6460</v>
      </c>
      <c r="G62" s="17">
        <v>1</v>
      </c>
      <c r="H62" s="18">
        <f t="shared" si="3"/>
        <v>6460</v>
      </c>
      <c r="I62" s="19" t="str">
        <f t="shared" si="4"/>
        <v>비원즈 피토 콜라겐 아이세럼스틱 15ml.jpg</v>
      </c>
      <c r="J62" s="19"/>
      <c r="K62" s="9" t="str">
        <f t="shared" si="6"/>
        <v>{"ITM_SEQ":"59","TYPE":"화장품","TYPE_DTL":"아이크림","ITM_NM":"비원즈 피토 콜라겐 아이세럼스틱 15ml","PRICE":"6460","UNIT":"1","":"6460","IMG":"비원즈 피토 콜라겐 아이세럼스틱 15ml.jpg"},</v>
      </c>
    </row>
    <row r="63" spans="2:11" ht="14.4" customHeight="1">
      <c r="B63" s="20">
        <v>60</v>
      </c>
      <c r="C63" s="13" t="s">
        <v>17</v>
      </c>
      <c r="D63" s="14" t="s">
        <v>228</v>
      </c>
      <c r="E63" s="19" t="s">
        <v>103</v>
      </c>
      <c r="F63" s="16">
        <v>4900</v>
      </c>
      <c r="G63" s="17">
        <v>1</v>
      </c>
      <c r="H63" s="18">
        <f t="shared" si="3"/>
        <v>4900</v>
      </c>
      <c r="I63" s="19" t="str">
        <f t="shared" si="4"/>
        <v>센카 퍼팩트 휩 페이셜 워시.jpg</v>
      </c>
      <c r="J63" s="19"/>
      <c r="K63" s="9" t="str">
        <f t="shared" si="6"/>
        <v>{"ITM_SEQ":"60","TYPE":"화장품","TYPE_DTL":"폼클렌징","ITM_NM":"센카 퍼팩트 휩 페이셜 워시","PRICE":"4900","UNIT":"1","":"4900","IMG":"센카 퍼팩트 휩 페이셜 워시.jpg"},</v>
      </c>
    </row>
    <row r="64" spans="2:11" ht="14.4" customHeight="1">
      <c r="B64" s="12">
        <v>61</v>
      </c>
      <c r="C64" s="26" t="s">
        <v>229</v>
      </c>
      <c r="D64" s="14" t="s">
        <v>241</v>
      </c>
      <c r="E64" s="24" t="s">
        <v>193</v>
      </c>
      <c r="F64" s="16">
        <v>10000</v>
      </c>
      <c r="G64" s="17">
        <v>1</v>
      </c>
      <c r="H64" s="18">
        <f t="shared" si="3"/>
        <v>10000</v>
      </c>
      <c r="I64" s="19" t="str">
        <f t="shared" si="4"/>
        <v>센텔리안 24 마데카 베리어 바디로션 500ml.jpg</v>
      </c>
      <c r="J64" s="19"/>
      <c r="K64" s="9" t="str">
        <f t="shared" si="6"/>
        <v>{"ITM_SEQ":"61","TYPE":"기타","TYPE_DTL":"바디","ITM_NM":"센텔리안 24 마데카 베리어 바디로션 500ml","PRICE":"10000","UNIT":"1","":"10000","IMG":"센텔리안 24 마데카 베리어 바디로션 500ml.jpg"},</v>
      </c>
    </row>
    <row r="65" spans="2:11" ht="14.4" customHeight="1">
      <c r="B65" s="20">
        <v>62</v>
      </c>
      <c r="C65" s="26" t="s">
        <v>229</v>
      </c>
      <c r="D65" s="14" t="s">
        <v>241</v>
      </c>
      <c r="E65" s="24" t="s">
        <v>194</v>
      </c>
      <c r="F65" s="16">
        <v>6900</v>
      </c>
      <c r="G65" s="17">
        <v>1</v>
      </c>
      <c r="H65" s="18">
        <f t="shared" si="3"/>
        <v>6900</v>
      </c>
      <c r="I65" s="19" t="str">
        <f t="shared" si="4"/>
        <v>센텔리안 24 마데카 옴프 올인원 125ml.jpg</v>
      </c>
      <c r="J65" s="19"/>
      <c r="K65" s="9" t="str">
        <f t="shared" si="6"/>
        <v>{"ITM_SEQ":"62","TYPE":"기타","TYPE_DTL":"바디","ITM_NM":"센텔리안 24 마데카 옴프 올인원 125ml","PRICE":"6900","UNIT":"1","":"6900","IMG":"센텔리안 24 마데카 옴프 올인원 125ml.jpg"},</v>
      </c>
    </row>
    <row r="66" spans="2:11" ht="14.4" customHeight="1">
      <c r="B66" s="12">
        <v>63</v>
      </c>
      <c r="C66" s="13" t="s">
        <v>17</v>
      </c>
      <c r="D66" s="14" t="s">
        <v>231</v>
      </c>
      <c r="E66" s="27" t="s">
        <v>195</v>
      </c>
      <c r="F66" s="16">
        <v>10900</v>
      </c>
      <c r="G66" s="17">
        <v>1</v>
      </c>
      <c r="H66" s="18">
        <f t="shared" si="3"/>
        <v>10900</v>
      </c>
      <c r="I66" s="19" t="str">
        <f t="shared" si="4"/>
        <v>센텔리안24 링클셀 코어 아이크림.jpg</v>
      </c>
      <c r="J66" s="19"/>
      <c r="K66" s="9" t="str">
        <f t="shared" si="6"/>
        <v>{"ITM_SEQ":"63","TYPE":"화장품","TYPE_DTL":"아이크림","ITM_NM":"센텔리안24 링클셀 코어 아이크림","PRICE":"10900","UNIT":"1","":"10900","IMG":"센텔리안24 링클셀 코어 아이크림.jpg"},</v>
      </c>
    </row>
    <row r="67" spans="2:11" ht="14.4" customHeight="1">
      <c r="B67" s="20">
        <v>64</v>
      </c>
      <c r="C67" s="13" t="s">
        <v>17</v>
      </c>
      <c r="D67" s="14" t="s">
        <v>230</v>
      </c>
      <c r="E67" s="27" t="s">
        <v>199</v>
      </c>
      <c r="F67" s="16">
        <v>8990</v>
      </c>
      <c r="G67" s="17">
        <v>1</v>
      </c>
      <c r="H67" s="18">
        <f t="shared" si="3"/>
        <v>8990</v>
      </c>
      <c r="I67" s="19" t="str">
        <f t="shared" si="4"/>
        <v>셀퓨전씨 데일리 리페어 레이저크림 50ml.jpg</v>
      </c>
      <c r="J67" s="19"/>
      <c r="K67" s="9" t="str">
        <f t="shared" si="6"/>
        <v>{"ITM_SEQ":"64","TYPE":"화장품","TYPE_DTL":"영양크림","ITM_NM":"셀퓨전씨 데일리 리페어 레이저크림 50ml","PRICE":"8990","UNIT":"1","":"8990","IMG":"셀퓨전씨 데일리 리페어 레이저크림 50ml.jpg"},</v>
      </c>
    </row>
    <row r="68" spans="2:11" ht="14.4" customHeight="1">
      <c r="B68" s="12">
        <v>65</v>
      </c>
      <c r="C68" s="13" t="s">
        <v>17</v>
      </c>
      <c r="D68" s="14" t="s">
        <v>230</v>
      </c>
      <c r="E68" s="24" t="s">
        <v>200</v>
      </c>
      <c r="F68" s="16">
        <v>4480</v>
      </c>
      <c r="G68" s="17">
        <v>1</v>
      </c>
      <c r="H68" s="18">
        <f t="shared" ref="H68:H99" si="7">F68*G68</f>
        <v>4480</v>
      </c>
      <c r="I68" s="19" t="str">
        <f t="shared" ref="I68:I99" si="8">_xlfn.CONCAT(E68, ".jpg")</f>
        <v>셀퓨젼시 카밍다운크림 35ml.jpg</v>
      </c>
      <c r="J68" s="19"/>
      <c r="K68" s="9" t="str">
        <f t="shared" si="6"/>
        <v>{"ITM_SEQ":"65","TYPE":"화장품","TYPE_DTL":"영양크림","ITM_NM":"셀퓨젼시 카밍다운크림 35ml","PRICE":"4480","UNIT":"1","":"4480","IMG":"셀퓨젼시 카밍다운크림 35ml.jpg"},</v>
      </c>
    </row>
    <row r="69" spans="2:11" ht="14.4" customHeight="1">
      <c r="B69" s="20">
        <v>66</v>
      </c>
      <c r="C69" s="13" t="s">
        <v>17</v>
      </c>
      <c r="D69" s="37" t="s">
        <v>866</v>
      </c>
      <c r="E69" s="19" t="s">
        <v>104</v>
      </c>
      <c r="F69" s="16">
        <v>7100</v>
      </c>
      <c r="G69" s="17">
        <v>1</v>
      </c>
      <c r="H69" s="18">
        <f t="shared" si="7"/>
        <v>7100</v>
      </c>
      <c r="I69" s="19" t="str">
        <f t="shared" si="8"/>
        <v>아누아 어성초 80 수분 진정 앰플.jpg</v>
      </c>
      <c r="J69" s="19"/>
      <c r="K69" s="9" t="str">
        <f t="shared" si="6"/>
        <v>{"ITM_SEQ":"66","TYPE":"화장품","TYPE_DTL":"에센스/세럼/앰플","ITM_NM":"아누아 어성초 80 수분 진정 앰플","PRICE":"7100","UNIT":"1","":"7100","IMG":"아누아 어성초 80 수분 진정 앰플.jpg"},</v>
      </c>
    </row>
    <row r="70" spans="2:11" ht="14.4" customHeight="1">
      <c r="B70" s="12">
        <v>67</v>
      </c>
      <c r="C70" s="13" t="s">
        <v>17</v>
      </c>
      <c r="D70" s="37" t="s">
        <v>862</v>
      </c>
      <c r="E70" s="19" t="s">
        <v>105</v>
      </c>
      <c r="F70" s="16">
        <v>10360</v>
      </c>
      <c r="G70" s="17">
        <v>1</v>
      </c>
      <c r="H70" s="18">
        <f t="shared" si="7"/>
        <v>10360</v>
      </c>
      <c r="I70" s="19" t="str">
        <f t="shared" si="8"/>
        <v>아누아 어성초70 데일리 로션 200ml.jpg</v>
      </c>
      <c r="J70" s="19"/>
      <c r="K70" s="9" t="str">
        <f t="shared" si="6"/>
        <v>{"ITM_SEQ":"67","TYPE":"화장품","TYPE_DTL":"로션/에멀전","ITM_NM":"아누아 어성초70 데일리 로션 200ml","PRICE":"10360","UNIT":"1","":"10360","IMG":"아누아 어성초70 데일리 로션 200ml.jpg"},</v>
      </c>
    </row>
    <row r="71" spans="2:11" ht="14.4" customHeight="1">
      <c r="B71" s="20">
        <v>68</v>
      </c>
      <c r="C71" s="13" t="s">
        <v>17</v>
      </c>
      <c r="D71" s="37" t="s">
        <v>21</v>
      </c>
      <c r="E71" s="19" t="s">
        <v>109</v>
      </c>
      <c r="F71" s="16">
        <v>9800</v>
      </c>
      <c r="G71" s="17">
        <v>1</v>
      </c>
      <c r="H71" s="18">
        <f t="shared" si="7"/>
        <v>9800</v>
      </c>
      <c r="I71" s="19" t="str">
        <f t="shared" si="8"/>
        <v>아비브 부활초 크림 뉴트리션 튜브.jpg</v>
      </c>
      <c r="J71" s="19"/>
      <c r="K71" s="9" t="str">
        <f t="shared" si="6"/>
        <v>{"ITM_SEQ":"68","TYPE":"화장품","TYPE_DTL":"영양크림","ITM_NM":"아비브 부활초 크림 뉴트리션 튜브","PRICE":"9800","UNIT":"1","":"9800","IMG":"아비브 부활초 크림 뉴트리션 튜브.jpg"},</v>
      </c>
    </row>
    <row r="72" spans="2:11" ht="14.4" customHeight="1">
      <c r="B72" s="12">
        <v>69</v>
      </c>
      <c r="C72" s="13" t="s">
        <v>17</v>
      </c>
      <c r="D72" s="14" t="s">
        <v>18</v>
      </c>
      <c r="E72" s="27" t="s">
        <v>203</v>
      </c>
      <c r="F72" s="16">
        <v>1500</v>
      </c>
      <c r="G72" s="17">
        <v>10</v>
      </c>
      <c r="H72" s="18">
        <f t="shared" si="7"/>
        <v>15000</v>
      </c>
      <c r="I72" s="19" t="str">
        <f t="shared" si="8"/>
        <v>아비브 수분초 콜라겐 젤 마스크팩.jpg</v>
      </c>
      <c r="J72" s="19"/>
      <c r="K72" s="9" t="str">
        <f t="shared" si="6"/>
        <v>{"ITM_SEQ":"69","TYPE":"화장품","TYPE_DTL":"마스크팩","ITM_NM":"아비브 수분초 콜라겐 젤 마스크팩","PRICE":"1500","UNIT":"10","":"15000","IMG":"아비브 수분초 콜라겐 젤 마스크팩.jpg"},</v>
      </c>
    </row>
    <row r="73" spans="2:11" ht="14.4" customHeight="1">
      <c r="B73" s="20">
        <v>70</v>
      </c>
      <c r="C73" s="13" t="s">
        <v>17</v>
      </c>
      <c r="D73" s="37" t="s">
        <v>23</v>
      </c>
      <c r="E73" s="24" t="s">
        <v>204</v>
      </c>
      <c r="F73" s="16">
        <v>6210</v>
      </c>
      <c r="G73" s="17">
        <v>1</v>
      </c>
      <c r="H73" s="18">
        <f t="shared" si="7"/>
        <v>6210</v>
      </c>
      <c r="I73" s="19" t="str">
        <f t="shared" si="8"/>
        <v>아비브 아크네 폼 클렌저 어성초 150ml.jpg</v>
      </c>
      <c r="J73" s="19"/>
      <c r="K73" s="9" t="str">
        <f t="shared" si="6"/>
        <v>{"ITM_SEQ":"70","TYPE":"화장품","TYPE_DTL":"폼클렌징","ITM_NM":"아비브 아크네 폼 클렌저 어성초 150ml","PRICE":"6210","UNIT":"1","":"6210","IMG":"아비브 아크네 폼 클렌저 어성초 150ml.jpg"},</v>
      </c>
    </row>
    <row r="74" spans="2:11" ht="14.4" customHeight="1">
      <c r="B74" s="12">
        <v>71</v>
      </c>
      <c r="C74" s="13" t="s">
        <v>17</v>
      </c>
      <c r="D74" s="14" t="s">
        <v>18</v>
      </c>
      <c r="E74" s="27" t="s">
        <v>205</v>
      </c>
      <c r="F74" s="16">
        <v>1000</v>
      </c>
      <c r="G74" s="17">
        <v>20</v>
      </c>
      <c r="H74" s="18">
        <f t="shared" si="7"/>
        <v>20000</v>
      </c>
      <c r="I74" s="19" t="str">
        <f t="shared" si="8"/>
        <v>아비브 약산성 pH 시트 마스크.jpg</v>
      </c>
      <c r="J74" s="19"/>
      <c r="K74" s="9" t="str">
        <f t="shared" si="6"/>
        <v>{"ITM_SEQ":"71","TYPE":"화장품","TYPE_DTL":"마스크팩","ITM_NM":"아비브 약산성 pH 시트 마스크","PRICE":"1000","UNIT":"20","":"20000","IMG":"아비브 약산성 pH 시트 마스크.jpg"},</v>
      </c>
    </row>
    <row r="75" spans="2:11" ht="14.4" customHeight="1">
      <c r="B75" s="20">
        <v>72</v>
      </c>
      <c r="C75" s="13" t="s">
        <v>17</v>
      </c>
      <c r="D75" s="37" t="s">
        <v>866</v>
      </c>
      <c r="E75" s="24" t="s">
        <v>206</v>
      </c>
      <c r="F75" s="16">
        <v>7990</v>
      </c>
      <c r="G75" s="17">
        <v>1</v>
      </c>
      <c r="H75" s="18">
        <f t="shared" si="7"/>
        <v>7990</v>
      </c>
      <c r="I75" s="19" t="str">
        <f t="shared" si="8"/>
        <v>아비브 어성초 에센스 카밍펌프 50ml.jpg</v>
      </c>
      <c r="J75" s="19"/>
      <c r="K75" s="9" t="str">
        <f t="shared" si="6"/>
        <v>{"ITM_SEQ":"72","TYPE":"화장품","TYPE_DTL":"에센스/세럼/앰플","ITM_NM":"아비브 어성초 에센스 카밍펌프 50ml","PRICE":"7990","UNIT":"1","":"7990","IMG":"아비브 어성초 에센스 카밍펌프 50ml.jpg"},</v>
      </c>
    </row>
    <row r="76" spans="2:11" ht="14.4" customHeight="1">
      <c r="B76" s="12">
        <v>73</v>
      </c>
      <c r="C76" s="13" t="s">
        <v>17</v>
      </c>
      <c r="D76" s="37" t="s">
        <v>21</v>
      </c>
      <c r="E76" s="19" t="s">
        <v>129</v>
      </c>
      <c r="F76" s="16">
        <v>9800</v>
      </c>
      <c r="G76" s="17">
        <v>1</v>
      </c>
      <c r="H76" s="18">
        <f t="shared" si="7"/>
        <v>9800</v>
      </c>
      <c r="I76" s="19" t="str">
        <f t="shared" si="8"/>
        <v>아이브 부활초 크림 뉴트리션 튜브.jpg</v>
      </c>
      <c r="J76" s="19"/>
      <c r="K76" s="9" t="str">
        <f t="shared" si="6"/>
        <v>{"ITM_SEQ":"73","TYPE":"화장품","TYPE_DTL":"영양크림","ITM_NM":"아이브 부활초 크림 뉴트리션 튜브","PRICE":"9800","UNIT":"1","":"9800","IMG":"아이브 부활초 크림 뉴트리션 튜브.jpg"},</v>
      </c>
    </row>
    <row r="77" spans="2:11" ht="14.4" customHeight="1">
      <c r="B77" s="20">
        <v>74</v>
      </c>
      <c r="C77" s="13" t="s">
        <v>17</v>
      </c>
      <c r="D77" s="14" t="s">
        <v>230</v>
      </c>
      <c r="E77" s="19" t="s">
        <v>130</v>
      </c>
      <c r="F77" s="16">
        <v>11390</v>
      </c>
      <c r="G77" s="17">
        <v>1</v>
      </c>
      <c r="H77" s="18">
        <f t="shared" si="7"/>
        <v>11390</v>
      </c>
      <c r="I77" s="19" t="str">
        <f t="shared" si="8"/>
        <v>아이소이 블레미쉬 케어 업 크림.jpg</v>
      </c>
      <c r="J77" s="19"/>
      <c r="K77" s="9" t="str">
        <f t="shared" si="6"/>
        <v>{"ITM_SEQ":"74","TYPE":"화장품","TYPE_DTL":"영양크림","ITM_NM":"아이소이 블레미쉬 케어 업 크림","PRICE":"11390","UNIT":"1","":"11390","IMG":"아이소이 블레미쉬 케어 업 크림.jpg"},</v>
      </c>
    </row>
    <row r="78" spans="2:11" ht="14.4" customHeight="1">
      <c r="B78" s="12">
        <v>75</v>
      </c>
      <c r="C78" s="13" t="s">
        <v>17</v>
      </c>
      <c r="D78" s="37" t="s">
        <v>860</v>
      </c>
      <c r="E78" s="24" t="s">
        <v>208</v>
      </c>
      <c r="F78" s="16">
        <v>11690</v>
      </c>
      <c r="G78" s="17">
        <v>1</v>
      </c>
      <c r="H78" s="18">
        <f t="shared" si="7"/>
        <v>11690</v>
      </c>
      <c r="I78" s="19" t="str">
        <f t="shared" si="8"/>
        <v>아이소이 인텐시브 리프팅 스팟 25ml.jpg</v>
      </c>
      <c r="J78" s="19"/>
      <c r="K78" s="9" t="str">
        <f t="shared" si="6"/>
        <v>{"ITM_SEQ":"75","TYPE":"화장품","TYPE_DTL":"기타","ITM_NM":"아이소이 인텐시브 리프팅 스팟 25ml","PRICE":"11690","UNIT":"1","":"11690","IMG":"아이소이 인텐시브 리프팅 스팟 25ml.jpg"},</v>
      </c>
    </row>
    <row r="79" spans="2:11" ht="14.4" customHeight="1">
      <c r="B79" s="20">
        <v>76</v>
      </c>
      <c r="C79" s="31" t="s">
        <v>11</v>
      </c>
      <c r="D79" s="26" t="s">
        <v>225</v>
      </c>
      <c r="E79" s="19" t="s">
        <v>131</v>
      </c>
      <c r="F79" s="16">
        <v>14850</v>
      </c>
      <c r="G79" s="17">
        <v>1</v>
      </c>
      <c r="H79" s="18">
        <f t="shared" si="7"/>
        <v>14850</v>
      </c>
      <c r="I79" s="19" t="str">
        <f t="shared" si="8"/>
        <v>액티브 프로 바이오틱스.jpg</v>
      </c>
      <c r="J79" s="19"/>
      <c r="K79" s="9" t="str">
        <f t="shared" si="6"/>
        <v>{"ITM_SEQ":"76","TYPE":"식품","TYPE_DTL":"건강","ITM_NM":"액티브 프로 바이오틱스","PRICE":"14850","UNIT":"1","":"14850","IMG":"액티브 프로 바이오틱스.jpg"},</v>
      </c>
    </row>
    <row r="80" spans="2:11" ht="14.4" customHeight="1">
      <c r="B80" s="12">
        <v>77</v>
      </c>
      <c r="C80" s="13" t="s">
        <v>17</v>
      </c>
      <c r="D80" s="37" t="s">
        <v>860</v>
      </c>
      <c r="E80" s="24" t="s">
        <v>211</v>
      </c>
      <c r="F80" s="16">
        <v>6170</v>
      </c>
      <c r="G80" s="17">
        <v>1</v>
      </c>
      <c r="H80" s="18">
        <f t="shared" si="7"/>
        <v>6170</v>
      </c>
      <c r="I80" s="19" t="str">
        <f t="shared" si="8"/>
        <v>이니스프리 시카밤 40ml.jpg</v>
      </c>
      <c r="J80" s="19"/>
      <c r="K80" s="9" t="str">
        <f t="shared" si="6"/>
        <v>{"ITM_SEQ":"77","TYPE":"화장품","TYPE_DTL":"기타","ITM_NM":"이니스프리 시카밤 40ml","PRICE":"6170","UNIT":"1","":"6170","IMG":"이니스프리 시카밤 40ml.jpg"},</v>
      </c>
    </row>
    <row r="81" spans="2:11" ht="14.4" customHeight="1">
      <c r="B81" s="20">
        <v>78</v>
      </c>
      <c r="C81" s="13" t="s">
        <v>17</v>
      </c>
      <c r="D81" s="14" t="s">
        <v>228</v>
      </c>
      <c r="E81" s="24" t="s">
        <v>181</v>
      </c>
      <c r="F81" s="16">
        <v>5270</v>
      </c>
      <c r="G81" s="17">
        <v>1</v>
      </c>
      <c r="H81" s="18">
        <f t="shared" si="7"/>
        <v>5270</v>
      </c>
      <c r="I81" s="19" t="str">
        <f t="shared" si="8"/>
        <v>자민경크레마카발로 오일 투 폼 110ml(클렌징폼).jpg</v>
      </c>
      <c r="J81" s="19"/>
      <c r="K81" s="9" t="str">
        <f t="shared" si="6"/>
        <v>{"ITM_SEQ":"78","TYPE":"화장품","TYPE_DTL":"폼클렌징","ITM_NM":"자민경크레마카발로 오일 투 폼 110ml(클렌징폼)","PRICE":"5270","UNIT":"1","":"5270","IMG":"자민경크레마카발로 오일 투 폼 110ml(클렌징폼).jpg"},</v>
      </c>
    </row>
    <row r="82" spans="2:11" ht="14.4" customHeight="1">
      <c r="B82" s="12">
        <v>79</v>
      </c>
      <c r="C82" s="26" t="s">
        <v>860</v>
      </c>
      <c r="D82" s="14" t="s">
        <v>134</v>
      </c>
      <c r="E82" s="24" t="s">
        <v>175</v>
      </c>
      <c r="F82" s="16">
        <v>3890</v>
      </c>
      <c r="G82" s="17">
        <v>1</v>
      </c>
      <c r="H82" s="18">
        <f t="shared" si="7"/>
        <v>3890</v>
      </c>
      <c r="I82" s="19" t="str">
        <f t="shared" si="8"/>
        <v>해피바스 오리지널 컬렉션 바디워시 체리블로섬향, 910g.jpg</v>
      </c>
      <c r="J82" s="19"/>
      <c r="K82" s="9" t="str">
        <f t="shared" si="6"/>
        <v>{"ITM_SEQ":"79","TYPE":"기타","TYPE_DTL":"바디","ITM_NM":"해피바스 오리지널 컬렉션 바디워시 체리블로섬향, 910g","PRICE":"3890","UNIT":"1","":"3890","IMG":"해피바스 오리지널 컬렉션 바디워시 체리블로섬향, 910g.jpg"},</v>
      </c>
    </row>
    <row r="83" spans="2:11" ht="14.4" customHeight="1">
      <c r="B83" s="20">
        <v>80</v>
      </c>
      <c r="C83" s="26" t="s">
        <v>234</v>
      </c>
      <c r="D83" s="14" t="s">
        <v>219</v>
      </c>
      <c r="E83" s="15" t="s">
        <v>148</v>
      </c>
      <c r="F83" s="16">
        <v>3140</v>
      </c>
      <c r="G83" s="17">
        <v>1</v>
      </c>
      <c r="H83" s="18">
        <f t="shared" si="7"/>
        <v>3140</v>
      </c>
      <c r="I83" s="19" t="str">
        <f t="shared" si="8"/>
        <v>청정원 프리미엄 굴소스, 500g.jpg</v>
      </c>
      <c r="J83" s="19"/>
      <c r="K83" s="9" t="str">
        <f t="shared" si="6"/>
        <v>{"ITM_SEQ":"80","TYPE":"식품","TYPE_DTL":"소스","ITM_NM":"청정원 프리미엄 굴소스, 500g","PRICE":"3140","UNIT":"1","":"3140","IMG":"청정원 프리미엄 굴소스, 500g.jpg"},</v>
      </c>
    </row>
    <row r="84" spans="2:11" ht="14.4" customHeight="1">
      <c r="B84" s="12">
        <v>81</v>
      </c>
      <c r="C84" s="13" t="s">
        <v>11</v>
      </c>
      <c r="D84" s="14" t="s">
        <v>218</v>
      </c>
      <c r="E84" s="24" t="s">
        <v>151</v>
      </c>
      <c r="F84" s="16">
        <v>1500</v>
      </c>
      <c r="G84" s="17">
        <v>1</v>
      </c>
      <c r="H84" s="18">
        <f t="shared" si="7"/>
        <v>1500</v>
      </c>
      <c r="I84" s="19" t="str">
        <f t="shared" si="8"/>
        <v>오뚜기 가쓰오부시장국, 360ml.jpg</v>
      </c>
      <c r="J84" s="19"/>
      <c r="K84" s="9" t="str">
        <f t="shared" si="6"/>
        <v>{"ITM_SEQ":"81","TYPE":"식품","TYPE_DTL":"소스","ITM_NM":"오뚜기 가쓰오부시장국, 360ml","PRICE":"1500","UNIT":"1","":"1500","IMG":"오뚜기 가쓰오부시장국, 360ml.jpg"},</v>
      </c>
    </row>
    <row r="85" spans="2:11" ht="14.4" customHeight="1">
      <c r="B85" s="20">
        <v>82</v>
      </c>
      <c r="C85" s="13" t="s">
        <v>11</v>
      </c>
      <c r="D85" s="14" t="s">
        <v>218</v>
      </c>
      <c r="E85" s="24" t="s">
        <v>152</v>
      </c>
      <c r="F85" s="16">
        <v>2990</v>
      </c>
      <c r="G85" s="17">
        <v>1</v>
      </c>
      <c r="H85" s="18">
        <f t="shared" si="7"/>
        <v>2990</v>
      </c>
      <c r="I85" s="19" t="str">
        <f t="shared" si="8"/>
        <v>고소한 건강 생각 참기름.jpg</v>
      </c>
      <c r="J85" s="19"/>
      <c r="K85" s="9" t="str">
        <f t="shared" si="6"/>
        <v>{"ITM_SEQ":"82","TYPE":"식품","TYPE_DTL":"소스","ITM_NM":"고소한 건강 생각 참기름","PRICE":"2990","UNIT":"1","":"2990","IMG":"고소한 건강 생각 참기름.jpg"},</v>
      </c>
    </row>
    <row r="86" spans="2:11" ht="14.4" customHeight="1">
      <c r="B86" s="12">
        <v>83</v>
      </c>
      <c r="C86" s="13" t="s">
        <v>11</v>
      </c>
      <c r="D86" s="14" t="s">
        <v>13</v>
      </c>
      <c r="E86" s="21" t="s">
        <v>153</v>
      </c>
      <c r="F86" s="16">
        <v>530</v>
      </c>
      <c r="G86" s="17">
        <v>10</v>
      </c>
      <c r="H86" s="18">
        <f t="shared" si="7"/>
        <v>5300</v>
      </c>
      <c r="I86" s="19" t="str">
        <f t="shared" si="8"/>
        <v>까스활액.jpg</v>
      </c>
      <c r="J86" s="19"/>
      <c r="K86" s="9" t="str">
        <f t="shared" si="6"/>
        <v>{"ITM_SEQ":"83","TYPE":"식품","TYPE_DTL":"음료","ITM_NM":"까스활액","PRICE":"530","UNIT":"10","":"5300","IMG":"까스활액.jpg"},</v>
      </c>
    </row>
    <row r="87" spans="2:11" ht="14.4" customHeight="1">
      <c r="B87" s="20">
        <v>84</v>
      </c>
      <c r="C87" s="13" t="s">
        <v>11</v>
      </c>
      <c r="D87" s="14" t="s">
        <v>12</v>
      </c>
      <c r="E87" s="21" t="s">
        <v>154</v>
      </c>
      <c r="F87" s="16">
        <v>520</v>
      </c>
      <c r="G87" s="17">
        <v>20</v>
      </c>
      <c r="H87" s="18">
        <f t="shared" si="7"/>
        <v>10400</v>
      </c>
      <c r="I87" s="19" t="str">
        <f t="shared" si="8"/>
        <v>꼬마웨하스바닐라맛.jpg</v>
      </c>
      <c r="J87" s="19"/>
      <c r="K87" s="9" t="str">
        <f t="shared" si="6"/>
        <v>{"ITM_SEQ":"84","TYPE":"식품","TYPE_DTL":"과자","ITM_NM":"꼬마웨하스바닐라맛","PRICE":"520","UNIT":"20","":"10400","IMG":"꼬마웨하스바닐라맛.jpg"},</v>
      </c>
    </row>
    <row r="88" spans="2:11" ht="14.4" customHeight="1">
      <c r="B88" s="12">
        <v>85</v>
      </c>
      <c r="C88" s="13" t="s">
        <v>11</v>
      </c>
      <c r="D88" s="14" t="s">
        <v>15</v>
      </c>
      <c r="E88" s="24" t="s">
        <v>155</v>
      </c>
      <c r="F88" s="16">
        <v>2600</v>
      </c>
      <c r="G88" s="17">
        <v>1</v>
      </c>
      <c r="H88" s="18">
        <f t="shared" si="7"/>
        <v>2600</v>
      </c>
      <c r="I88" s="19" t="str">
        <f t="shared" si="8"/>
        <v>꽃샘 피어나다 국화 유자, 350g.jpg</v>
      </c>
      <c r="J88" s="19"/>
      <c r="K88" s="9" t="str">
        <f t="shared" si="6"/>
        <v>{"ITM_SEQ":"85","TYPE":"식품","TYPE_DTL":"차","ITM_NM":"꽃샘 피어나다 국화 유자, 350g","PRICE":"2600","UNIT":"1","":"2600","IMG":"꽃샘 피어나다 국화 유자, 350g.jpg"},</v>
      </c>
    </row>
    <row r="89" spans="2:11" ht="14.4" customHeight="1">
      <c r="B89" s="20">
        <v>86</v>
      </c>
      <c r="C89" s="13" t="s">
        <v>11</v>
      </c>
      <c r="D89" s="14" t="s">
        <v>222</v>
      </c>
      <c r="E89" s="24" t="s">
        <v>156</v>
      </c>
      <c r="F89" s="16">
        <v>2280</v>
      </c>
      <c r="G89" s="17">
        <v>1</v>
      </c>
      <c r="H89" s="18">
        <f t="shared" si="7"/>
        <v>2280</v>
      </c>
      <c r="I89" s="19" t="str">
        <f t="shared" si="8"/>
        <v>꽃샘 피어나다 히비스커스 자몽, 350g.jpg</v>
      </c>
      <c r="J89" s="19"/>
      <c r="K89" s="9" t="str">
        <f t="shared" ref="K89:K134" si="9">_xlfn.CONCAT("{""",$B$3,""":""",B89,""",""",$C$3,""":""",C89,""",""",$D$3,""":""",D89,""",""",$E$3,""":""",E89,""",""",$F$3,""":""",F89,""",""",$G$3,""":""",G89,""",""",$H$3,""":""",H89,""",""",$I$3,""":""",I89,"""},")</f>
        <v>{"ITM_SEQ":"86","TYPE":"식품","TYPE_DTL":"차","ITM_NM":"꽃샘 피어나다 히비스커스 자몽, 350g","PRICE":"2280","UNIT":"1","":"2280","IMG":"꽃샘 피어나다 히비스커스 자몽, 350g.jpg"},</v>
      </c>
    </row>
    <row r="90" spans="2:11" ht="14.4" customHeight="1">
      <c r="B90" s="12">
        <v>87</v>
      </c>
      <c r="C90" s="31" t="s">
        <v>11</v>
      </c>
      <c r="D90" s="26" t="s">
        <v>225</v>
      </c>
      <c r="E90" s="19" t="s">
        <v>94</v>
      </c>
      <c r="F90" s="16">
        <v>7670</v>
      </c>
      <c r="G90" s="17">
        <v>1</v>
      </c>
      <c r="H90" s="18">
        <f t="shared" si="7"/>
        <v>7670</v>
      </c>
      <c r="I90" s="19" t="str">
        <f t="shared" si="8"/>
        <v>꿀타이밍 야생화스틱15T.jpg</v>
      </c>
      <c r="J90" s="19"/>
      <c r="K90" s="9" t="str">
        <f t="shared" si="9"/>
        <v>{"ITM_SEQ":"87","TYPE":"식품","TYPE_DTL":"건강","ITM_NM":"꿀타이밍 야생화스틱15T","PRICE":"7670","UNIT":"1","":"7670","IMG":"꿀타이밍 야생화스틱15T.jpg"},</v>
      </c>
    </row>
    <row r="91" spans="2:11" ht="14.4" customHeight="1">
      <c r="B91" s="20">
        <v>88</v>
      </c>
      <c r="C91" s="13" t="s">
        <v>11</v>
      </c>
      <c r="D91" s="14" t="s">
        <v>13</v>
      </c>
      <c r="E91" s="19" t="s">
        <v>126</v>
      </c>
      <c r="F91" s="16">
        <v>350</v>
      </c>
      <c r="G91" s="17">
        <v>30</v>
      </c>
      <c r="H91" s="18">
        <f t="shared" si="7"/>
        <v>10500</v>
      </c>
      <c r="I91" s="19" t="str">
        <f t="shared" si="8"/>
        <v>나랑드사이다 245ml.jpg</v>
      </c>
      <c r="J91" s="19"/>
      <c r="K91" s="9" t="str">
        <f t="shared" si="9"/>
        <v>{"ITM_SEQ":"88","TYPE":"식품","TYPE_DTL":"음료","ITM_NM":"나랑드사이다 245ml","PRICE":"350","UNIT":"30","":"10500","IMG":"나랑드사이다 245ml.jpg"},</v>
      </c>
    </row>
    <row r="92" spans="2:11" ht="14.4" customHeight="1">
      <c r="B92" s="12">
        <v>89</v>
      </c>
      <c r="C92" s="13" t="s">
        <v>11</v>
      </c>
      <c r="D92" s="14" t="s">
        <v>13</v>
      </c>
      <c r="E92" s="19" t="s">
        <v>127</v>
      </c>
      <c r="F92" s="16">
        <v>370</v>
      </c>
      <c r="G92" s="17">
        <v>30</v>
      </c>
      <c r="H92" s="18">
        <f t="shared" si="7"/>
        <v>11100</v>
      </c>
      <c r="I92" s="19" t="str">
        <f t="shared" si="8"/>
        <v>나랑드사이다 그린애플 245ml.jpg</v>
      </c>
      <c r="J92" s="19"/>
      <c r="K92" s="9" t="str">
        <f t="shared" si="9"/>
        <v>{"ITM_SEQ":"89","TYPE":"식품","TYPE_DTL":"음료","ITM_NM":"나랑드사이다 그린애플 245ml","PRICE":"370","UNIT":"30","":"11100","IMG":"나랑드사이다 그린애플 245ml.jpg"},</v>
      </c>
    </row>
    <row r="93" spans="2:11" ht="14.4" customHeight="1">
      <c r="B93" s="20">
        <v>90</v>
      </c>
      <c r="C93" s="13" t="s">
        <v>11</v>
      </c>
      <c r="D93" s="14" t="s">
        <v>13</v>
      </c>
      <c r="E93" s="19" t="s">
        <v>128</v>
      </c>
      <c r="F93" s="16">
        <v>360</v>
      </c>
      <c r="G93" s="17">
        <v>30</v>
      </c>
      <c r="H93" s="18">
        <f t="shared" si="7"/>
        <v>10800</v>
      </c>
      <c r="I93" s="19" t="str">
        <f t="shared" si="8"/>
        <v>나랑드사이다 파인애플 245ml.jpg</v>
      </c>
      <c r="J93" s="19"/>
      <c r="K93" s="9" t="str">
        <f t="shared" si="9"/>
        <v>{"ITM_SEQ":"90","TYPE":"식품","TYPE_DTL":"음료","ITM_NM":"나랑드사이다 파인애플 245ml","PRICE":"360","UNIT":"30","":"10800","IMG":"나랑드사이다 파인애플 245ml.jpg"},</v>
      </c>
    </row>
    <row r="94" spans="2:11" ht="14.4" customHeight="1">
      <c r="B94" s="12">
        <v>91</v>
      </c>
      <c r="C94" s="13" t="s">
        <v>11</v>
      </c>
      <c r="D94" s="14" t="s">
        <v>13</v>
      </c>
      <c r="E94" s="24" t="s">
        <v>159</v>
      </c>
      <c r="F94" s="16">
        <v>430</v>
      </c>
      <c r="G94" s="17">
        <v>30</v>
      </c>
      <c r="H94" s="18">
        <f t="shared" si="7"/>
        <v>12900</v>
      </c>
      <c r="I94" s="19" t="str">
        <f t="shared" si="8"/>
        <v>데미소다 복숭아, 250ml.jpg</v>
      </c>
      <c r="J94" s="19"/>
      <c r="K94" s="9" t="str">
        <f t="shared" si="9"/>
        <v>{"ITM_SEQ":"91","TYPE":"식품","TYPE_DTL":"음료","ITM_NM":"데미소다 복숭아, 250ml","PRICE":"430","UNIT":"30","":"12900","IMG":"데미소다 복숭아, 250ml.jpg"},</v>
      </c>
    </row>
    <row r="95" spans="2:11" ht="14.4" customHeight="1">
      <c r="B95" s="20">
        <v>92</v>
      </c>
      <c r="C95" s="13" t="s">
        <v>11</v>
      </c>
      <c r="D95" s="14" t="s">
        <v>89</v>
      </c>
      <c r="E95" s="24" t="s">
        <v>178</v>
      </c>
      <c r="F95" s="16">
        <v>4360</v>
      </c>
      <c r="G95" s="17">
        <v>1</v>
      </c>
      <c r="H95" s="18">
        <f t="shared" si="7"/>
        <v>4360</v>
      </c>
      <c r="I95" s="19" t="str">
        <f t="shared" si="8"/>
        <v>동원참치 고추 참치 4개 90g.jpg</v>
      </c>
      <c r="J95" s="19"/>
      <c r="K95" s="9" t="str">
        <f t="shared" si="9"/>
        <v>{"ITM_SEQ":"92","TYPE":"식품","TYPE_DTL":"기타","ITM_NM":"동원참치 고추 참치 4개 90g","PRICE":"4360","UNIT":"1","":"4360","IMG":"동원참치 고추 참치 4개 90g.jpg"},</v>
      </c>
    </row>
    <row r="96" spans="2:11" ht="14.4" customHeight="1">
      <c r="B96" s="12">
        <v>93</v>
      </c>
      <c r="C96" s="13" t="s">
        <v>11</v>
      </c>
      <c r="D96" s="14" t="s">
        <v>6</v>
      </c>
      <c r="E96" s="27" t="s">
        <v>177</v>
      </c>
      <c r="F96" s="16">
        <v>4740</v>
      </c>
      <c r="G96" s="17">
        <v>1</v>
      </c>
      <c r="H96" s="18">
        <f t="shared" si="7"/>
        <v>4740</v>
      </c>
      <c r="I96" s="19" t="str">
        <f t="shared" si="8"/>
        <v>동원참치 라이트스탠다드 4개 90g.jpg</v>
      </c>
      <c r="J96" s="19"/>
      <c r="K96" s="9" t="str">
        <f t="shared" si="9"/>
        <v>{"ITM_SEQ":"93","TYPE":"식품","TYPE_DTL":"기타","ITM_NM":"동원참치 라이트스탠다드 4개 90g","PRICE":"4740","UNIT":"1","":"4740","IMG":"동원참치 라이트스탠다드 4개 90g.jpg"},</v>
      </c>
    </row>
    <row r="97" spans="2:11" ht="14.4" customHeight="1">
      <c r="B97" s="20">
        <v>94</v>
      </c>
      <c r="C97" s="13" t="s">
        <v>11</v>
      </c>
      <c r="D97" s="14" t="s">
        <v>12</v>
      </c>
      <c r="E97" s="24" t="s">
        <v>165</v>
      </c>
      <c r="F97" s="16">
        <v>1790</v>
      </c>
      <c r="G97" s="17">
        <v>5</v>
      </c>
      <c r="H97" s="18">
        <f t="shared" si="7"/>
        <v>8950</v>
      </c>
      <c r="I97" s="19" t="str">
        <f t="shared" si="8"/>
        <v>크라운 NEW 롱스.jpg</v>
      </c>
      <c r="J97" s="19"/>
      <c r="K97" s="9" t="str">
        <f t="shared" si="9"/>
        <v>{"ITM_SEQ":"94","TYPE":"식품","TYPE_DTL":"과자","ITM_NM":"크라운 NEW 롱스","PRICE":"1790","UNIT":"5","":"8950","IMG":"크라운 NEW 롱스.jpg"},</v>
      </c>
    </row>
    <row r="98" spans="2:11" ht="14.4" customHeight="1">
      <c r="B98" s="12">
        <v>95</v>
      </c>
      <c r="C98" s="13" t="s">
        <v>11</v>
      </c>
      <c r="D98" s="14" t="s">
        <v>12</v>
      </c>
      <c r="E98" s="24" t="s">
        <v>179</v>
      </c>
      <c r="F98" s="16">
        <v>1100</v>
      </c>
      <c r="G98" s="17">
        <v>5</v>
      </c>
      <c r="H98" s="18">
        <f t="shared" si="7"/>
        <v>5500</v>
      </c>
      <c r="I98" s="19" t="str">
        <f t="shared" si="8"/>
        <v>몽쉘카카오케이크 6개입.jpg</v>
      </c>
      <c r="J98" s="19"/>
      <c r="K98" s="9" t="str">
        <f t="shared" si="9"/>
        <v>{"ITM_SEQ":"95","TYPE":"식품","TYPE_DTL":"과자","ITM_NM":"몽쉘카카오케이크 6개입","PRICE":"1100","UNIT":"5","":"5500","IMG":"몽쉘카카오케이크 6개입.jpg"},</v>
      </c>
    </row>
    <row r="99" spans="2:11" ht="14.4" customHeight="1">
      <c r="B99" s="20">
        <v>96</v>
      </c>
      <c r="C99" s="13" t="s">
        <v>11</v>
      </c>
      <c r="D99" s="14" t="s">
        <v>13</v>
      </c>
      <c r="E99" s="24" t="s">
        <v>180</v>
      </c>
      <c r="F99" s="16">
        <v>400</v>
      </c>
      <c r="G99" s="17">
        <v>30</v>
      </c>
      <c r="H99" s="18">
        <f t="shared" si="7"/>
        <v>12000</v>
      </c>
      <c r="I99" s="19" t="str">
        <f t="shared" si="8"/>
        <v>밀키스제로 250ml.jpg</v>
      </c>
      <c r="J99" s="19"/>
      <c r="K99" s="9" t="str">
        <f t="shared" si="9"/>
        <v>{"ITM_SEQ":"96","TYPE":"식품","TYPE_DTL":"음료","ITM_NM":"밀키스제로 250ml","PRICE":"400","UNIT":"30","":"12000","IMG":"밀키스제로 250ml.jpg"},</v>
      </c>
    </row>
    <row r="100" spans="2:11" ht="14.4" customHeight="1">
      <c r="B100" s="12">
        <v>97</v>
      </c>
      <c r="C100" s="13" t="s">
        <v>11</v>
      </c>
      <c r="D100" s="14" t="s">
        <v>220</v>
      </c>
      <c r="E100" s="19" t="s">
        <v>100</v>
      </c>
      <c r="F100" s="16">
        <v>500</v>
      </c>
      <c r="G100" s="17">
        <v>10</v>
      </c>
      <c r="H100" s="18">
        <f t="shared" ref="H100:H131" si="10">F100*G100</f>
        <v>5000</v>
      </c>
      <c r="I100" s="19" t="str">
        <f t="shared" ref="I100:I131" si="11">_xlfn.CONCAT(E100, ".jpg")</f>
        <v>박카스.jpg</v>
      </c>
      <c r="J100" s="19"/>
      <c r="K100" s="9" t="str">
        <f t="shared" si="9"/>
        <v>{"ITM_SEQ":"97","TYPE":"식품","TYPE_DTL":"음료","ITM_NM":"박카스","PRICE":"500","UNIT":"10","":"5000","IMG":"박카스.jpg"},</v>
      </c>
    </row>
    <row r="101" spans="2:11" ht="14.4" customHeight="1">
      <c r="B101" s="20">
        <v>98</v>
      </c>
      <c r="C101" s="26" t="s">
        <v>89</v>
      </c>
      <c r="D101" s="14" t="s">
        <v>134</v>
      </c>
      <c r="E101" s="24" t="s">
        <v>158</v>
      </c>
      <c r="F101" s="16">
        <v>6900</v>
      </c>
      <c r="G101" s="17">
        <v>1</v>
      </c>
      <c r="H101" s="18">
        <f t="shared" si="10"/>
        <v>6900</v>
      </c>
      <c r="I101" s="19" t="str">
        <f t="shared" si="11"/>
        <v>더프트앤도프트 파인 프라그란스 바디미스트 핑크브리즈향, 150ml.jpg</v>
      </c>
      <c r="J101" s="19"/>
      <c r="K101" s="9" t="str">
        <f t="shared" si="9"/>
        <v>{"ITM_SEQ":"98","TYPE":"기타","TYPE_DTL":"바디","ITM_NM":"더프트앤도프트 파인 프라그란스 바디미스트 핑크브리즈향, 150ml","PRICE":"6900","UNIT":"1","":"6900","IMG":"더프트앤도프트 파인 프라그란스 바디미스트 핑크브리즈향, 150ml.jpg"},</v>
      </c>
    </row>
    <row r="102" spans="2:11" ht="14.4" customHeight="1">
      <c r="B102" s="12">
        <v>99</v>
      </c>
      <c r="C102" s="13" t="s">
        <v>17</v>
      </c>
      <c r="D102" s="13" t="s">
        <v>19</v>
      </c>
      <c r="E102" s="24" t="s">
        <v>139</v>
      </c>
      <c r="F102" s="16">
        <v>7900</v>
      </c>
      <c r="G102" s="17">
        <v>1</v>
      </c>
      <c r="H102" s="18">
        <f t="shared" si="10"/>
        <v>7900</v>
      </c>
      <c r="I102" s="19" t="str">
        <f t="shared" si="11"/>
        <v>닥터지 그린 마일드 업 선 스틱, 20g.jpg</v>
      </c>
      <c r="J102" s="19"/>
      <c r="K102" s="9" t="str">
        <f t="shared" si="9"/>
        <v>{"ITM_SEQ":"99","TYPE":"화장품","TYPE_DTL":"선크림","ITM_NM":"닥터지 그린 마일드 업 선 스틱, 20g","PRICE":"7900","UNIT":"1","":"7900","IMG":"닥터지 그린 마일드 업 선 스틱, 20g.jpg"},</v>
      </c>
    </row>
    <row r="103" spans="2:11" ht="14.4" customHeight="1">
      <c r="B103" s="20">
        <v>100</v>
      </c>
      <c r="C103" s="13" t="s">
        <v>17</v>
      </c>
      <c r="D103" s="37" t="s">
        <v>866</v>
      </c>
      <c r="E103" s="24" t="s">
        <v>138</v>
      </c>
      <c r="F103" s="16">
        <v>10800</v>
      </c>
      <c r="G103" s="17">
        <v>1</v>
      </c>
      <c r="H103" s="18">
        <f t="shared" si="10"/>
        <v>10800</v>
      </c>
      <c r="I103" s="19" t="str">
        <f t="shared" si="11"/>
        <v>닥터자르트 바이탈 하이드라 솔루션 하이드로 플럼프 트리트먼트 에센스, 150ml.jpg</v>
      </c>
      <c r="J103" s="19"/>
      <c r="K103" s="9" t="str">
        <f t="shared" si="9"/>
        <v>{"ITM_SEQ":"100","TYPE":"화장품","TYPE_DTL":"에센스/세럼/앰플","ITM_NM":"닥터자르트 바이탈 하이드라 솔루션 하이드로 플럼프 트리트먼트 에센스, 150ml","PRICE":"10800","UNIT":"1","":"10800","IMG":"닥터자르트 바이탈 하이드라 솔루션 하이드로 플럼프 트리트먼트 에센스, 150ml.jpg"},</v>
      </c>
    </row>
    <row r="104" spans="2:11" ht="14.4" customHeight="1">
      <c r="B104" s="12">
        <v>101</v>
      </c>
      <c r="C104" s="13" t="s">
        <v>17</v>
      </c>
      <c r="D104" s="37" t="s">
        <v>866</v>
      </c>
      <c r="E104" s="24" t="s">
        <v>145</v>
      </c>
      <c r="F104" s="16">
        <v>5700</v>
      </c>
      <c r="G104" s="17">
        <v>1</v>
      </c>
      <c r="H104" s="18">
        <f t="shared" si="10"/>
        <v>5700</v>
      </c>
      <c r="I104" s="19" t="str">
        <f t="shared" si="11"/>
        <v>듀이트리 울트라 바이탈라이징 스네일 에센스워터, 150ml.jpg</v>
      </c>
      <c r="J104" s="19"/>
      <c r="K104" s="9" t="str">
        <f t="shared" si="9"/>
        <v>{"ITM_SEQ":"101","TYPE":"화장품","TYPE_DTL":"에센스/세럼/앰플","ITM_NM":"듀이트리 울트라 바이탈라이징 스네일 에센스워터, 150ml","PRICE":"5700","UNIT":"1","":"5700","IMG":"듀이트리 울트라 바이탈라이징 스네일 에센스워터, 150ml.jpg"},</v>
      </c>
    </row>
    <row r="105" spans="2:11" ht="14.4" customHeight="1">
      <c r="B105" s="20">
        <v>102</v>
      </c>
      <c r="C105" s="13" t="s">
        <v>11</v>
      </c>
      <c r="D105" s="26" t="s">
        <v>225</v>
      </c>
      <c r="E105" s="24" t="s">
        <v>174</v>
      </c>
      <c r="F105" s="16">
        <v>40000</v>
      </c>
      <c r="G105" s="17">
        <v>1</v>
      </c>
      <c r="H105" s="18">
        <f t="shared" si="10"/>
        <v>40000</v>
      </c>
      <c r="I105" s="19" t="str">
        <f t="shared" si="11"/>
        <v>정관장 홍삼보운 40ml x 30개입.jpg</v>
      </c>
      <c r="J105" s="19"/>
      <c r="K105" s="9" t="str">
        <f t="shared" si="9"/>
        <v>{"ITM_SEQ":"102","TYPE":"식품","TYPE_DTL":"건강","ITM_NM":"정관장 홍삼보운 40ml x 30개입","PRICE":"40000","UNIT":"1","":"40000","IMG":"정관장 홍삼보운 40ml x 30개입.jpg"},</v>
      </c>
    </row>
    <row r="106" spans="2:11" ht="14.4" customHeight="1">
      <c r="B106" s="12">
        <v>103</v>
      </c>
      <c r="C106" s="13" t="s">
        <v>17</v>
      </c>
      <c r="D106" s="13" t="s">
        <v>21</v>
      </c>
      <c r="E106" s="19" t="s">
        <v>135</v>
      </c>
      <c r="F106" s="16">
        <v>14590</v>
      </c>
      <c r="G106" s="17">
        <v>1</v>
      </c>
      <c r="H106" s="18">
        <f t="shared" si="10"/>
        <v>14590</v>
      </c>
      <c r="I106" s="19" t="str">
        <f t="shared" si="11"/>
        <v>AHC 에이치 멜라 루트 크림(AHC 기미크림).jpg</v>
      </c>
      <c r="J106" s="19"/>
      <c r="K106" s="9" t="str">
        <f t="shared" si="9"/>
        <v>{"ITM_SEQ":"103","TYPE":"화장품","TYPE_DTL":"영양크림","ITM_NM":"AHC 에이치 멜라 루트 크림(AHC 기미크림)","PRICE":"14590","UNIT":"1","":"14590","IMG":"AHC 에이치 멜라 루트 크림(AHC 기미크림).jpg"},</v>
      </c>
    </row>
    <row r="107" spans="2:11" ht="14.4" customHeight="1">
      <c r="B107" s="20">
        <v>104</v>
      </c>
      <c r="C107" s="13" t="s">
        <v>17</v>
      </c>
      <c r="D107" s="13" t="s">
        <v>21</v>
      </c>
      <c r="E107" s="24" t="s">
        <v>137</v>
      </c>
      <c r="F107" s="16">
        <v>10080</v>
      </c>
      <c r="G107" s="17">
        <v>1</v>
      </c>
      <c r="H107" s="18">
        <f t="shared" si="10"/>
        <v>10080</v>
      </c>
      <c r="I107" s="19" t="str">
        <f t="shared" si="11"/>
        <v>닥터지 블랙 스네일크림, 50ml.jpg</v>
      </c>
      <c r="J107" s="19"/>
      <c r="K107" s="9" t="str">
        <f t="shared" si="9"/>
        <v>{"ITM_SEQ":"104","TYPE":"화장품","TYPE_DTL":"영양크림","ITM_NM":"닥터지 블랙 스네일크림, 50ml","PRICE":"10080","UNIT":"1","":"10080","IMG":"닥터지 블랙 스네일크림, 50ml.jpg"},</v>
      </c>
    </row>
    <row r="108" spans="2:11" ht="14.4" customHeight="1">
      <c r="B108" s="12">
        <v>105</v>
      </c>
      <c r="C108" s="13" t="s">
        <v>17</v>
      </c>
      <c r="D108" s="13" t="s">
        <v>21</v>
      </c>
      <c r="E108" s="24" t="s">
        <v>141</v>
      </c>
      <c r="F108" s="16">
        <v>11100</v>
      </c>
      <c r="G108" s="17">
        <v>1</v>
      </c>
      <c r="H108" s="18">
        <f t="shared" si="10"/>
        <v>11100</v>
      </c>
      <c r="I108" s="19" t="str">
        <f t="shared" si="11"/>
        <v>닥터지 더모이스처 배리어 D 로션, 200ml.jpg</v>
      </c>
      <c r="J108" s="19"/>
      <c r="K108" s="9" t="str">
        <f t="shared" si="9"/>
        <v>{"ITM_SEQ":"105","TYPE":"화장품","TYPE_DTL":"영양크림","ITM_NM":"닥터지 더모이스처 배리어 D 로션, 200ml","PRICE":"11100","UNIT":"1","":"11100","IMG":"닥터지 더모이스처 배리어 D 로션, 200ml.jpg"},</v>
      </c>
    </row>
    <row r="109" spans="2:11" ht="14.4" customHeight="1">
      <c r="B109" s="20">
        <v>106</v>
      </c>
      <c r="C109" s="13" t="s">
        <v>17</v>
      </c>
      <c r="D109" s="13" t="s">
        <v>21</v>
      </c>
      <c r="E109" s="27" t="s">
        <v>142</v>
      </c>
      <c r="F109" s="16">
        <v>6770</v>
      </c>
      <c r="G109" s="17">
        <v>1</v>
      </c>
      <c r="H109" s="18">
        <f t="shared" si="10"/>
        <v>6770</v>
      </c>
      <c r="I109" s="19" t="str">
        <f t="shared" si="11"/>
        <v>닥터지 레드 블레미쉬 클리어 크림, 70ml.jpg</v>
      </c>
      <c r="J109" s="19"/>
      <c r="K109" s="9" t="str">
        <f t="shared" si="9"/>
        <v>{"ITM_SEQ":"106","TYPE":"화장품","TYPE_DTL":"영양크림","ITM_NM":"닥터지 레드 블레미쉬 클리어 크림, 70ml","PRICE":"6770","UNIT":"1","":"6770","IMG":"닥터지 레드 블레미쉬 클리어 크림, 70ml.jpg"},</v>
      </c>
    </row>
    <row r="110" spans="2:11" ht="14.4" customHeight="1">
      <c r="B110" s="12">
        <v>107</v>
      </c>
      <c r="C110" s="13" t="s">
        <v>17</v>
      </c>
      <c r="D110" s="13" t="s">
        <v>21</v>
      </c>
      <c r="E110" s="24" t="s">
        <v>143</v>
      </c>
      <c r="F110" s="16">
        <v>21400</v>
      </c>
      <c r="G110" s="17">
        <v>1</v>
      </c>
      <c r="H110" s="18">
        <f t="shared" si="10"/>
        <v>21400</v>
      </c>
      <c r="I110" s="19" t="str">
        <f t="shared" si="11"/>
        <v>닥터지 로얄 블랙 스네일 탄력 스페셜 세트 (에센스 + 크림 + 아이크림 + 마스크팩).jpg</v>
      </c>
      <c r="J110" s="19"/>
      <c r="K110" s="9" t="str">
        <f t="shared" si="9"/>
        <v>{"ITM_SEQ":"107","TYPE":"화장품","TYPE_DTL":"영양크림","ITM_NM":"닥터지 로얄 블랙 스네일 탄력 스페셜 세트 (에센스 + 크림 + 아이크림 + 마스크팩)","PRICE":"21400","UNIT":"1","":"21400","IMG":"닥터지 로얄 블랙 스네일 탄력 스페셜 세트 (에센스 + 크림 + 아이크림 + 마스크팩).jpg"},</v>
      </c>
    </row>
    <row r="111" spans="2:11" ht="14.4" customHeight="1">
      <c r="B111" s="20">
        <v>108</v>
      </c>
      <c r="C111" s="13" t="s">
        <v>17</v>
      </c>
      <c r="D111" s="13" t="s">
        <v>21</v>
      </c>
      <c r="E111" s="19" t="s">
        <v>95</v>
      </c>
      <c r="F111" s="16">
        <v>21010</v>
      </c>
      <c r="G111" s="17">
        <v>1</v>
      </c>
      <c r="H111" s="18">
        <f t="shared" si="10"/>
        <v>21010</v>
      </c>
      <c r="I111" s="19" t="str">
        <f t="shared" si="11"/>
        <v>듀이트리 울트라 바이탈라이징 스네일 달팽이 3종 세트.jpg</v>
      </c>
      <c r="J111" s="19"/>
      <c r="K111" s="9" t="str">
        <f t="shared" si="9"/>
        <v>{"ITM_SEQ":"108","TYPE":"화장품","TYPE_DTL":"영양크림","ITM_NM":"듀이트리 울트라 바이탈라이징 스네일 달팽이 3종 세트","PRICE":"21010","UNIT":"1","":"21010","IMG":"듀이트리 울트라 바이탈라이징 스네일 달팽이 3종 세트.jpg"},</v>
      </c>
    </row>
    <row r="112" spans="2:11" ht="14.4" customHeight="1">
      <c r="B112" s="12">
        <v>109</v>
      </c>
      <c r="C112" s="13" t="s">
        <v>17</v>
      </c>
      <c r="D112" s="13" t="s">
        <v>21</v>
      </c>
      <c r="E112" s="24" t="s">
        <v>162</v>
      </c>
      <c r="F112" s="16">
        <v>9880</v>
      </c>
      <c r="G112" s="17">
        <v>1</v>
      </c>
      <c r="H112" s="18">
        <f t="shared" si="10"/>
        <v>9880</v>
      </c>
      <c r="I112" s="19" t="str">
        <f t="shared" si="11"/>
        <v>듀이트리 울트라 바이탈라이징 스네일 크림 80ml+샘플 10ml.jpg</v>
      </c>
      <c r="J112" s="19"/>
      <c r="K112" s="9" t="str">
        <f t="shared" si="9"/>
        <v>{"ITM_SEQ":"109","TYPE":"화장품","TYPE_DTL":"영양크림","ITM_NM":"듀이트리 울트라 바이탈라이징 스네일 크림 80ml+샘플 10ml","PRICE":"9880","UNIT":"1","":"9880","IMG":"듀이트리 울트라 바이탈라이징 스네일 크림 80ml+샘플 10ml.jpg"},</v>
      </c>
    </row>
    <row r="113" spans="2:11" ht="14.4" customHeight="1">
      <c r="B113" s="20">
        <v>110</v>
      </c>
      <c r="C113" s="13" t="s">
        <v>17</v>
      </c>
      <c r="D113" s="13" t="s">
        <v>21</v>
      </c>
      <c r="E113" s="24" t="s">
        <v>146</v>
      </c>
      <c r="F113" s="16">
        <v>10200</v>
      </c>
      <c r="G113" s="17">
        <v>1</v>
      </c>
      <c r="H113" s="18">
        <f t="shared" si="10"/>
        <v>10200</v>
      </c>
      <c r="I113" s="19" t="str">
        <f t="shared" si="11"/>
        <v>라운드랩 약콩 판테놀 크림, 80ml.jpg</v>
      </c>
      <c r="J113" s="19"/>
      <c r="K113" s="9" t="str">
        <f t="shared" si="9"/>
        <v>{"ITM_SEQ":"110","TYPE":"화장품","TYPE_DTL":"영양크림","ITM_NM":"라운드랩 약콩 판테놀 크림, 80ml","PRICE":"10200","UNIT":"1","":"10200","IMG":"라운드랩 약콩 판테놀 크림, 80ml.jpg"},</v>
      </c>
    </row>
    <row r="114" spans="2:11" ht="14.4" customHeight="1">
      <c r="B114" s="12">
        <v>111</v>
      </c>
      <c r="C114" s="13" t="s">
        <v>11</v>
      </c>
      <c r="D114" s="13" t="s">
        <v>15</v>
      </c>
      <c r="E114" s="24" t="s">
        <v>183</v>
      </c>
      <c r="F114" s="16">
        <v>2220</v>
      </c>
      <c r="G114" s="17">
        <v>1</v>
      </c>
      <c r="H114" s="18">
        <f t="shared" si="10"/>
        <v>2220</v>
      </c>
      <c r="I114" s="19" t="str">
        <f t="shared" si="11"/>
        <v>제주앤팜 레몬차 스틱 10p.jpg</v>
      </c>
      <c r="J114" s="19"/>
      <c r="K114" s="9" t="str">
        <f t="shared" si="9"/>
        <v>{"ITM_SEQ":"111","TYPE":"식품","TYPE_DTL":"차","ITM_NM":"제주앤팜 레몬차 스틱 10p","PRICE":"2220","UNIT":"1","":"2220","IMG":"제주앤팜 레몬차 스틱 10p.jpg"},</v>
      </c>
    </row>
    <row r="115" spans="2:11" ht="14.4" customHeight="1">
      <c r="B115" s="20">
        <v>112</v>
      </c>
      <c r="C115" s="13" t="s">
        <v>11</v>
      </c>
      <c r="D115" s="13" t="s">
        <v>15</v>
      </c>
      <c r="E115" s="27" t="s">
        <v>184</v>
      </c>
      <c r="F115" s="16">
        <v>2990</v>
      </c>
      <c r="G115" s="17">
        <v>1</v>
      </c>
      <c r="H115" s="18">
        <f t="shared" si="10"/>
        <v>2990</v>
      </c>
      <c r="I115" s="19" t="str">
        <f t="shared" si="11"/>
        <v>제주앤팜 한라봉차 10p.jpg</v>
      </c>
      <c r="J115" s="19"/>
      <c r="K115" s="9" t="str">
        <f t="shared" si="9"/>
        <v>{"ITM_SEQ":"112","TYPE":"식품","TYPE_DTL":"차","ITM_NM":"제주앤팜 한라봉차 10p","PRICE":"2990","UNIT":"1","":"2990","IMG":"제주앤팜 한라봉차 10p.jpg"},</v>
      </c>
    </row>
    <row r="116" spans="2:11" ht="14.4" customHeight="1">
      <c r="B116" s="12">
        <v>113</v>
      </c>
      <c r="C116" s="33" t="s">
        <v>11</v>
      </c>
      <c r="D116" s="33" t="s">
        <v>16</v>
      </c>
      <c r="E116" s="24" t="s">
        <v>197</v>
      </c>
      <c r="F116" s="16">
        <v>560</v>
      </c>
      <c r="G116" s="17">
        <v>20</v>
      </c>
      <c r="H116" s="18">
        <f t="shared" si="10"/>
        <v>11200</v>
      </c>
      <c r="I116" s="19" t="str">
        <f t="shared" si="11"/>
        <v>이클립스 쿨링 소프트 캔디 레몬민트향 45g.jpg</v>
      </c>
      <c r="J116" s="19"/>
      <c r="K116" s="9" t="str">
        <f t="shared" si="9"/>
        <v>{"ITM_SEQ":"113","TYPE":"식품","TYPE_DTL":"캔디","ITM_NM":"이클립스 쿨링 소프트 캔디 레몬민트향 45g","PRICE":"560","UNIT":"20","":"11200","IMG":"이클립스 쿨링 소프트 캔디 레몬민트향 45g.jpg"},</v>
      </c>
    </row>
    <row r="117" spans="2:11" ht="14.4" customHeight="1">
      <c r="B117" s="20">
        <v>114</v>
      </c>
      <c r="C117" s="13" t="s">
        <v>17</v>
      </c>
      <c r="D117" s="13" t="s">
        <v>53</v>
      </c>
      <c r="E117" s="19" t="s">
        <v>96</v>
      </c>
      <c r="F117" s="16">
        <v>9000</v>
      </c>
      <c r="G117" s="17">
        <v>1</v>
      </c>
      <c r="H117" s="18">
        <f t="shared" si="10"/>
        <v>9000</v>
      </c>
      <c r="I117" s="19" t="str">
        <f t="shared" si="11"/>
        <v>라운드랩 1025 독도 토너 대용량, 500ml.jpg</v>
      </c>
      <c r="J117" s="19"/>
      <c r="K117" s="9" t="str">
        <f t="shared" si="9"/>
        <v>{"ITM_SEQ":"114","TYPE":"화장품","TYPE_DTL":"토너","ITM_NM":"라운드랩 1025 독도 토너 대용량, 500ml","PRICE":"9000","UNIT":"1","":"9000","IMG":"라운드랩 1025 독도 토너 대용량, 500ml.jpg"},</v>
      </c>
    </row>
    <row r="118" spans="2:11" ht="14.4" customHeight="1">
      <c r="B118" s="12">
        <v>115</v>
      </c>
      <c r="C118" s="13" t="s">
        <v>17</v>
      </c>
      <c r="D118" s="13" t="s">
        <v>23</v>
      </c>
      <c r="E118" s="24" t="s">
        <v>147</v>
      </c>
      <c r="F118" s="16">
        <v>3750</v>
      </c>
      <c r="G118" s="17">
        <v>1</v>
      </c>
      <c r="H118" s="18">
        <f t="shared" si="10"/>
        <v>3750</v>
      </c>
      <c r="I118" s="19" t="str">
        <f t="shared" si="11"/>
        <v>마녀공장 퓨리파잉 소다폼, 150ml.jpg</v>
      </c>
      <c r="J118" s="19"/>
      <c r="K118" s="9" t="str">
        <f t="shared" si="9"/>
        <v>{"ITM_SEQ":"115","TYPE":"화장품","TYPE_DTL":"폼클렌징","ITM_NM":"마녀공장 퓨리파잉 소다폼, 150ml","PRICE":"3750","UNIT":"1","":"3750","IMG":"마녀공장 퓨리파잉 소다폼, 150ml.jpg"},</v>
      </c>
    </row>
    <row r="119" spans="2:11" ht="14.4" customHeight="1">
      <c r="B119" s="20">
        <v>116</v>
      </c>
      <c r="C119" s="13" t="s">
        <v>11</v>
      </c>
      <c r="D119" s="14" t="s">
        <v>218</v>
      </c>
      <c r="E119" s="24" t="s">
        <v>187</v>
      </c>
      <c r="F119" s="16">
        <v>3950</v>
      </c>
      <c r="G119" s="17">
        <v>1</v>
      </c>
      <c r="H119" s="18">
        <f t="shared" si="10"/>
        <v>3950</v>
      </c>
      <c r="I119" s="19" t="str">
        <f t="shared" si="11"/>
        <v>백설 자일로스 설탕 1kg.jpg</v>
      </c>
      <c r="J119" s="19"/>
      <c r="K119" s="9" t="str">
        <f t="shared" si="9"/>
        <v>{"ITM_SEQ":"116","TYPE":"식품","TYPE_DTL":"소스","ITM_NM":"백설 자일로스 설탕 1kg","PRICE":"3950","UNIT":"1","":"3950","IMG":"백설 자일로스 설탕 1kg.jpg"},</v>
      </c>
    </row>
    <row r="120" spans="2:11" ht="14.4" customHeight="1">
      <c r="B120" s="12">
        <v>117</v>
      </c>
      <c r="C120" s="13" t="s">
        <v>11</v>
      </c>
      <c r="D120" s="14" t="s">
        <v>218</v>
      </c>
      <c r="E120" s="27" t="s">
        <v>188</v>
      </c>
      <c r="F120" s="16">
        <v>1800</v>
      </c>
      <c r="G120" s="17">
        <v>1</v>
      </c>
      <c r="H120" s="18">
        <f t="shared" si="10"/>
        <v>1800</v>
      </c>
      <c r="I120" s="19" t="str">
        <f t="shared" si="11"/>
        <v>백설 찍어먹는 트러플 솔트 50g.jpg</v>
      </c>
      <c r="J120" s="19"/>
      <c r="K120" s="9" t="str">
        <f t="shared" si="9"/>
        <v>{"ITM_SEQ":"117","TYPE":"식품","TYPE_DTL":"소스","ITM_NM":"백설 찍어먹는 트러플 솔트 50g","PRICE":"1800","UNIT":"1","":"1800","IMG":"백설 찍어먹는 트러플 솔트 50g.jpg"},</v>
      </c>
    </row>
    <row r="121" spans="2:11" ht="14.4" customHeight="1">
      <c r="B121" s="20">
        <v>118</v>
      </c>
      <c r="C121" s="13" t="s">
        <v>11</v>
      </c>
      <c r="D121" s="14" t="s">
        <v>46</v>
      </c>
      <c r="E121" s="24" t="s">
        <v>189</v>
      </c>
      <c r="F121" s="16">
        <v>4350</v>
      </c>
      <c r="G121" s="17">
        <v>1</v>
      </c>
      <c r="H121" s="18">
        <f t="shared" si="10"/>
        <v>4350</v>
      </c>
      <c r="I121" s="19" t="str">
        <f t="shared" si="11"/>
        <v>봉편촌메밀국수2호 850g.jpg</v>
      </c>
      <c r="J121" s="19"/>
      <c r="K121" s="9" t="str">
        <f t="shared" si="9"/>
        <v>{"ITM_SEQ":"118","TYPE":"식품","TYPE_DTL":"라면","ITM_NM":"봉편촌메밀국수2호 850g","PRICE":"4350","UNIT":"1","":"4350","IMG":"봉편촌메밀국수2호 850g.jpg"},</v>
      </c>
    </row>
    <row r="122" spans="2:11" ht="14.4" customHeight="1">
      <c r="B122" s="12">
        <v>119</v>
      </c>
      <c r="C122" s="13" t="s">
        <v>11</v>
      </c>
      <c r="D122" s="14" t="s">
        <v>12</v>
      </c>
      <c r="E122" s="24" t="s">
        <v>192</v>
      </c>
      <c r="F122" s="16">
        <v>780</v>
      </c>
      <c r="G122" s="17">
        <v>10</v>
      </c>
      <c r="H122" s="18">
        <f t="shared" si="10"/>
        <v>7800</v>
      </c>
      <c r="I122" s="19" t="str">
        <f t="shared" si="11"/>
        <v>빼빼로 오리지널.jpg</v>
      </c>
      <c r="J122" s="19"/>
      <c r="K122" s="9" t="str">
        <f t="shared" si="9"/>
        <v>{"ITM_SEQ":"119","TYPE":"식품","TYPE_DTL":"과자","ITM_NM":"빼빼로 오리지널","PRICE":"780","UNIT":"10","":"7800","IMG":"빼빼로 오리지널.jpg"},</v>
      </c>
    </row>
    <row r="123" spans="2:11" ht="14.4" customHeight="1">
      <c r="B123" s="20">
        <v>120</v>
      </c>
      <c r="C123" s="13" t="s">
        <v>11</v>
      </c>
      <c r="D123" s="14" t="s">
        <v>12</v>
      </c>
      <c r="E123" s="24" t="s">
        <v>202</v>
      </c>
      <c r="F123" s="16">
        <v>4600</v>
      </c>
      <c r="G123" s="17">
        <v>1</v>
      </c>
      <c r="H123" s="18">
        <f t="shared" si="10"/>
        <v>4600</v>
      </c>
      <c r="I123" s="19" t="str">
        <f t="shared" si="11"/>
        <v>스페셜k 오리지날 480g.jpg</v>
      </c>
      <c r="J123" s="19"/>
      <c r="K123" s="9" t="str">
        <f t="shared" si="9"/>
        <v>{"ITM_SEQ":"120","TYPE":"식품","TYPE_DTL":"과자","ITM_NM":"스페셜k 오리지날 480g","PRICE":"4600","UNIT":"1","":"4600","IMG":"스페셜k 오리지날 480g.jpg"},</v>
      </c>
    </row>
    <row r="124" spans="2:11" ht="14.4" customHeight="1">
      <c r="B124" s="12">
        <v>121</v>
      </c>
      <c r="C124" s="13" t="s">
        <v>11</v>
      </c>
      <c r="D124" s="14" t="s">
        <v>12</v>
      </c>
      <c r="E124" s="19" t="s">
        <v>106</v>
      </c>
      <c r="F124" s="16">
        <v>630</v>
      </c>
      <c r="G124" s="17">
        <v>10</v>
      </c>
      <c r="H124" s="18">
        <f t="shared" si="10"/>
        <v>6300</v>
      </c>
      <c r="I124" s="19" t="str">
        <f t="shared" si="11"/>
        <v>아몬드 빼빼로.jpg</v>
      </c>
      <c r="J124" s="19"/>
      <c r="K124" s="9" t="str">
        <f t="shared" si="9"/>
        <v>{"ITM_SEQ":"121","TYPE":"식품","TYPE_DTL":"과자","ITM_NM":"아몬드 빼빼로","PRICE":"630","UNIT":"10","":"6300","IMG":"아몬드 빼빼로.jpg"},</v>
      </c>
    </row>
    <row r="125" spans="2:11" ht="14.4" customHeight="1">
      <c r="B125" s="20">
        <v>122</v>
      </c>
      <c r="C125" s="13" t="s">
        <v>11</v>
      </c>
      <c r="D125" s="14" t="s">
        <v>12</v>
      </c>
      <c r="E125" s="19" t="s">
        <v>107</v>
      </c>
      <c r="F125" s="16">
        <v>660</v>
      </c>
      <c r="G125" s="17">
        <v>10</v>
      </c>
      <c r="H125" s="18">
        <f t="shared" si="10"/>
        <v>6600</v>
      </c>
      <c r="I125" s="19" t="str">
        <f t="shared" si="11"/>
        <v>아몬드초코볼.jpg</v>
      </c>
      <c r="J125" s="19"/>
      <c r="K125" s="9" t="str">
        <f t="shared" si="9"/>
        <v>{"ITM_SEQ":"122","TYPE":"식품","TYPE_DTL":"과자","ITM_NM":"아몬드초코볼","PRICE":"660","UNIT":"10","":"6600","IMG":"아몬드초코볼.jpg"},</v>
      </c>
    </row>
    <row r="126" spans="2:11" ht="14.4" customHeight="1">
      <c r="B126" s="12">
        <v>123</v>
      </c>
      <c r="C126" s="13" t="s">
        <v>11</v>
      </c>
      <c r="D126" s="14" t="s">
        <v>12</v>
      </c>
      <c r="E126" s="19" t="s">
        <v>108</v>
      </c>
      <c r="F126" s="16">
        <v>4690</v>
      </c>
      <c r="G126" s="17">
        <v>1</v>
      </c>
      <c r="H126" s="18">
        <f t="shared" si="10"/>
        <v>4690</v>
      </c>
      <c r="I126" s="19" t="str">
        <f t="shared" si="11"/>
        <v>아몬드푸레이크.jpg</v>
      </c>
      <c r="J126" s="19"/>
      <c r="K126" s="9" t="str">
        <f t="shared" si="9"/>
        <v>{"ITM_SEQ":"123","TYPE":"식품","TYPE_DTL":"과자","ITM_NM":"아몬드푸레이크","PRICE":"4690","UNIT":"1","":"4690","IMG":"아몬드푸레이크.jpg"},</v>
      </c>
    </row>
    <row r="127" spans="2:11" ht="14.4" customHeight="1">
      <c r="B127" s="20">
        <v>124</v>
      </c>
      <c r="C127" s="13" t="s">
        <v>11</v>
      </c>
      <c r="D127" s="14" t="s">
        <v>224</v>
      </c>
      <c r="E127" s="19" t="s">
        <v>111</v>
      </c>
      <c r="F127" s="16">
        <v>630</v>
      </c>
      <c r="G127" s="17">
        <v>10</v>
      </c>
      <c r="H127" s="18">
        <f t="shared" si="10"/>
        <v>6300</v>
      </c>
      <c r="I127" s="19" t="str">
        <f t="shared" si="11"/>
        <v>안성탕면.jpg</v>
      </c>
      <c r="J127" s="19"/>
      <c r="K127" s="9" t="str">
        <f t="shared" si="9"/>
        <v>{"ITM_SEQ":"124","TYPE":"식품","TYPE_DTL":"라면","ITM_NM":"안성탕면","PRICE":"630","UNIT":"10","":"6300","IMG":"안성탕면.jpg"},</v>
      </c>
    </row>
    <row r="128" spans="2:11" ht="14.4" customHeight="1">
      <c r="B128" s="12">
        <v>125</v>
      </c>
      <c r="C128" s="13" t="s">
        <v>11</v>
      </c>
      <c r="D128" s="14" t="s">
        <v>12</v>
      </c>
      <c r="E128" s="19" t="s">
        <v>112</v>
      </c>
      <c r="F128" s="16">
        <v>2640</v>
      </c>
      <c r="G128" s="17">
        <v>5</v>
      </c>
      <c r="H128" s="18">
        <f t="shared" si="10"/>
        <v>13200</v>
      </c>
      <c r="I128" s="19" t="str">
        <f t="shared" si="11"/>
        <v>엄마손파이.jpg</v>
      </c>
      <c r="J128" s="19"/>
      <c r="K128" s="9" t="str">
        <f t="shared" si="9"/>
        <v>{"ITM_SEQ":"125","TYPE":"식품","TYPE_DTL":"과자","ITM_NM":"엄마손파이","PRICE":"2640","UNIT":"5","":"13200","IMG":"엄마손파이.jpg"},</v>
      </c>
    </row>
    <row r="129" spans="2:11" ht="14.4" customHeight="1">
      <c r="B129" s="20">
        <v>126</v>
      </c>
      <c r="C129" s="13" t="s">
        <v>11</v>
      </c>
      <c r="D129" s="14" t="s">
        <v>12</v>
      </c>
      <c r="E129" s="19" t="s">
        <v>114</v>
      </c>
      <c r="F129" s="16">
        <v>2340</v>
      </c>
      <c r="G129" s="17">
        <v>1</v>
      </c>
      <c r="H129" s="18">
        <f t="shared" si="10"/>
        <v>2340</v>
      </c>
      <c r="I129" s="19" t="str">
        <f t="shared" si="11"/>
        <v>졸음번쩍껌 울트라파워.jpg</v>
      </c>
      <c r="J129" s="19"/>
      <c r="K129" s="9" t="str">
        <f t="shared" si="9"/>
        <v>{"ITM_SEQ":"126","TYPE":"식품","TYPE_DTL":"과자","ITM_NM":"졸음번쩍껌 울트라파워","PRICE":"2340","UNIT":"1","":"2340","IMG":"졸음번쩍껌 울트라파워.jpg"},</v>
      </c>
    </row>
    <row r="130" spans="2:11" ht="14.4" customHeight="1">
      <c r="B130" s="12">
        <v>127</v>
      </c>
      <c r="C130" s="13" t="s">
        <v>11</v>
      </c>
      <c r="D130" s="14" t="s">
        <v>218</v>
      </c>
      <c r="E130" s="24" t="s">
        <v>212</v>
      </c>
      <c r="F130" s="16">
        <v>2390</v>
      </c>
      <c r="G130" s="17">
        <v>1</v>
      </c>
      <c r="H130" s="18">
        <f t="shared" si="10"/>
        <v>2390</v>
      </c>
      <c r="I130" s="19" t="str">
        <f t="shared" si="11"/>
        <v>짜파게티 만능소스 280g.jpg</v>
      </c>
      <c r="J130" s="19"/>
      <c r="K130" s="9" t="str">
        <f t="shared" si="9"/>
        <v>{"ITM_SEQ":"127","TYPE":"식품","TYPE_DTL":"소스","ITM_NM":"짜파게티 만능소스 280g","PRICE":"2390","UNIT":"1","":"2390","IMG":"짜파게티 만능소스 280g.jpg"},</v>
      </c>
    </row>
    <row r="131" spans="2:11" ht="14.4" customHeight="1">
      <c r="B131" s="20">
        <v>128</v>
      </c>
      <c r="C131" s="13" t="s">
        <v>11</v>
      </c>
      <c r="D131" s="14" t="s">
        <v>12</v>
      </c>
      <c r="E131" s="24" t="s">
        <v>213</v>
      </c>
      <c r="F131" s="16">
        <v>4080</v>
      </c>
      <c r="G131" s="17">
        <v>1</v>
      </c>
      <c r="H131" s="18">
        <f t="shared" si="10"/>
        <v>4080</v>
      </c>
      <c r="I131" s="19" t="str">
        <f t="shared" si="11"/>
        <v>첵스초코 570g.jpg</v>
      </c>
      <c r="J131" s="19"/>
      <c r="K131" s="9" t="str">
        <f t="shared" si="9"/>
        <v>{"ITM_SEQ":"128","TYPE":"식품","TYPE_DTL":"과자","ITM_NM":"첵스초코 570g","PRICE":"4080","UNIT":"1","":"4080","IMG":"첵스초코 570g.jpg"},</v>
      </c>
    </row>
    <row r="132" spans="2:11" ht="14.4" customHeight="1">
      <c r="B132" s="12">
        <v>129</v>
      </c>
      <c r="C132" s="13" t="s">
        <v>11</v>
      </c>
      <c r="D132" s="14" t="s">
        <v>12</v>
      </c>
      <c r="E132" s="19" t="s">
        <v>115</v>
      </c>
      <c r="F132" s="16">
        <v>2120</v>
      </c>
      <c r="G132" s="17">
        <v>5</v>
      </c>
      <c r="H132" s="18">
        <f t="shared" ref="H132:H163" si="12">F132*G132</f>
        <v>10600</v>
      </c>
      <c r="I132" s="19" t="str">
        <f t="shared" ref="I132:I163" si="13">_xlfn.CONCAT(E132, ".jpg")</f>
        <v>초코틴인틴.jpg</v>
      </c>
      <c r="J132" s="19"/>
      <c r="K132" s="9" t="str">
        <f t="shared" si="9"/>
        <v>{"ITM_SEQ":"129","TYPE":"식품","TYPE_DTL":"과자","ITM_NM":"초코틴인틴","PRICE":"2120","UNIT":"5","":"10600","IMG":"초코틴인틴.jpg"},</v>
      </c>
    </row>
    <row r="133" spans="2:11" ht="14.4" customHeight="1">
      <c r="B133" s="20">
        <v>130</v>
      </c>
      <c r="C133" s="13" t="s">
        <v>11</v>
      </c>
      <c r="D133" s="14" t="s">
        <v>12</v>
      </c>
      <c r="E133" s="24" t="s">
        <v>214</v>
      </c>
      <c r="F133" s="16">
        <v>2850</v>
      </c>
      <c r="G133" s="17">
        <v>1</v>
      </c>
      <c r="H133" s="18">
        <f t="shared" si="12"/>
        <v>2850</v>
      </c>
      <c r="I133" s="19" t="str">
        <f t="shared" si="13"/>
        <v>오리온 초코파이 정 468g.jpg</v>
      </c>
      <c r="J133" s="19"/>
      <c r="K133" s="9" t="str">
        <f t="shared" si="9"/>
        <v>{"ITM_SEQ":"130","TYPE":"식품","TYPE_DTL":"과자","ITM_NM":"오리온 초코파이 정 468g","PRICE":"2850","UNIT":"1","":"2850","IMG":"오리온 초코파이 정 468g.jpg"},</v>
      </c>
    </row>
    <row r="134" spans="2:11" ht="14.4" customHeight="1">
      <c r="B134" s="12">
        <v>131</v>
      </c>
      <c r="C134" s="13" t="s">
        <v>11</v>
      </c>
      <c r="D134" s="14" t="s">
        <v>13</v>
      </c>
      <c r="E134" s="19" t="s">
        <v>116</v>
      </c>
      <c r="F134" s="16">
        <v>420</v>
      </c>
      <c r="G134" s="17">
        <v>30</v>
      </c>
      <c r="H134" s="18">
        <f t="shared" si="12"/>
        <v>12600</v>
      </c>
      <c r="I134" s="19" t="str">
        <f t="shared" si="13"/>
        <v>칠성사이다제로(250ml).jpg</v>
      </c>
      <c r="J134" s="19"/>
      <c r="K134" s="9" t="str">
        <f t="shared" si="9"/>
        <v>{"ITM_SEQ":"131","TYPE":"식품","TYPE_DTL":"음료","ITM_NM":"칠성사이다제로(250ml)","PRICE":"420","UNIT":"30","":"12600","IMG":"칠성사이다제로(250ml).jpg"},</v>
      </c>
    </row>
    <row r="135" spans="2:11" ht="14.4" customHeight="1">
      <c r="B135" s="20">
        <v>132</v>
      </c>
      <c r="C135" s="13" t="s">
        <v>11</v>
      </c>
      <c r="D135" s="14" t="s">
        <v>13</v>
      </c>
      <c r="E135" s="19" t="s">
        <v>117</v>
      </c>
      <c r="F135" s="16">
        <v>770</v>
      </c>
      <c r="G135" s="17">
        <v>20</v>
      </c>
      <c r="H135" s="18">
        <f t="shared" si="12"/>
        <v>15400</v>
      </c>
      <c r="I135" s="19" t="str">
        <f t="shared" si="13"/>
        <v>칠성사이다제로(500ml).jpg</v>
      </c>
      <c r="J135" s="19"/>
      <c r="K135" s="9" t="str">
        <f t="shared" ref="K135:K171" si="14">_xlfn.CONCAT("{""",$B$3,""":""",B135,""",""",$C$3,""":""",C135,""",""",$D$3,""":""",D135,""",""",$E$3,""":""",E135,""",""",$F$3,""":""",F135,""",""",$G$3,""":""",G135,""",""",$H$3,""":""",H135,""",""",$I$3,""":""",I135,"""},")</f>
        <v>{"ITM_SEQ":"132","TYPE":"식품","TYPE_DTL":"음료","ITM_NM":"칠성사이다제로(500ml)","PRICE":"770","UNIT":"20","":"15400","IMG":"칠성사이다제로(500ml).jpg"},</v>
      </c>
    </row>
    <row r="136" spans="2:11" ht="14.4" customHeight="1">
      <c r="B136" s="12">
        <v>133</v>
      </c>
      <c r="C136" s="13" t="s">
        <v>11</v>
      </c>
      <c r="D136" s="14" t="s">
        <v>13</v>
      </c>
      <c r="E136" s="24" t="s">
        <v>198</v>
      </c>
      <c r="F136" s="16">
        <v>900</v>
      </c>
      <c r="G136" s="17">
        <v>24</v>
      </c>
      <c r="H136" s="18">
        <f t="shared" si="12"/>
        <v>21600</v>
      </c>
      <c r="I136" s="19" t="str">
        <f t="shared" si="13"/>
        <v>콘트라베이스디카페인블랙 500ml.jpg</v>
      </c>
      <c r="J136" s="19"/>
      <c r="K136" s="9" t="str">
        <f t="shared" si="14"/>
        <v>{"ITM_SEQ":"133","TYPE":"식품","TYPE_DTL":"음료","ITM_NM":"콘트라베이스디카페인블랙 500ml","PRICE":"900","UNIT":"24","":"21600","IMG":"콘트라베이스디카페인블랙 500ml.jpg"},</v>
      </c>
    </row>
    <row r="137" spans="2:11" ht="14.4" customHeight="1">
      <c r="B137" s="20">
        <v>134</v>
      </c>
      <c r="C137" s="13" t="s">
        <v>11</v>
      </c>
      <c r="D137" s="14" t="s">
        <v>12</v>
      </c>
      <c r="E137" s="19" t="s">
        <v>118</v>
      </c>
      <c r="F137" s="16">
        <v>1490</v>
      </c>
      <c r="G137" s="17">
        <v>5</v>
      </c>
      <c r="H137" s="18">
        <f t="shared" si="12"/>
        <v>7450</v>
      </c>
      <c r="I137" s="19" t="str">
        <f t="shared" si="13"/>
        <v>쿠크다스케이크.jpg</v>
      </c>
      <c r="J137" s="19"/>
      <c r="K137" s="9" t="str">
        <f t="shared" si="14"/>
        <v>{"ITM_SEQ":"134","TYPE":"식품","TYPE_DTL":"과자","ITM_NM":"쿠크다스케이크","PRICE":"1490","UNIT":"5","":"7450","IMG":"쿠크다스케이크.jpg"},</v>
      </c>
    </row>
    <row r="138" spans="2:11" ht="14.4" customHeight="1">
      <c r="B138" s="12">
        <v>135</v>
      </c>
      <c r="C138" s="13" t="s">
        <v>11</v>
      </c>
      <c r="D138" s="14" t="s">
        <v>12</v>
      </c>
      <c r="E138" s="19" t="s">
        <v>119</v>
      </c>
      <c r="F138" s="16">
        <v>1830</v>
      </c>
      <c r="G138" s="17">
        <v>5</v>
      </c>
      <c r="H138" s="18">
        <f t="shared" si="12"/>
        <v>9150</v>
      </c>
      <c r="I138" s="19" t="str">
        <f t="shared" si="13"/>
        <v>크라운산도딸기.jpg</v>
      </c>
      <c r="J138" s="19"/>
      <c r="K138" s="9" t="str">
        <f t="shared" si="14"/>
        <v>{"ITM_SEQ":"135","TYPE":"식품","TYPE_DTL":"과자","ITM_NM":"크라운산도딸기","PRICE":"1830","UNIT":"5","":"9150","IMG":"크라운산도딸기.jpg"},</v>
      </c>
    </row>
    <row r="139" spans="2:11" ht="14.4" customHeight="1">
      <c r="B139" s="20">
        <v>136</v>
      </c>
      <c r="C139" s="13" t="s">
        <v>11</v>
      </c>
      <c r="D139" s="14" t="s">
        <v>12</v>
      </c>
      <c r="E139" s="19" t="s">
        <v>120</v>
      </c>
      <c r="F139" s="16">
        <v>680</v>
      </c>
      <c r="G139" s="17">
        <v>10</v>
      </c>
      <c r="H139" s="18">
        <f t="shared" si="12"/>
        <v>6800</v>
      </c>
      <c r="I139" s="19" t="str">
        <f t="shared" si="13"/>
        <v>크런키 빼빼로.jpg</v>
      </c>
      <c r="J139" s="19"/>
      <c r="K139" s="9" t="str">
        <f t="shared" si="14"/>
        <v>{"ITM_SEQ":"136","TYPE":"식품","TYPE_DTL":"과자","ITM_NM":"크런키 빼빼로","PRICE":"680","UNIT":"10","":"6800","IMG":"크런키 빼빼로.jpg"},</v>
      </c>
    </row>
    <row r="140" spans="2:11" ht="14.4" customHeight="1">
      <c r="B140" s="12">
        <v>137</v>
      </c>
      <c r="C140" s="13" t="s">
        <v>11</v>
      </c>
      <c r="D140" s="14" t="s">
        <v>12</v>
      </c>
      <c r="E140" s="19" t="s">
        <v>121</v>
      </c>
      <c r="F140" s="16">
        <v>410</v>
      </c>
      <c r="G140" s="17">
        <v>15</v>
      </c>
      <c r="H140" s="18">
        <f t="shared" si="12"/>
        <v>6150</v>
      </c>
      <c r="I140" s="19" t="str">
        <f t="shared" si="13"/>
        <v>키캣 4핑거.jpg</v>
      </c>
      <c r="J140" s="19"/>
      <c r="K140" s="9" t="str">
        <f t="shared" si="14"/>
        <v>{"ITM_SEQ":"137","TYPE":"식품","TYPE_DTL":"과자","ITM_NM":"키캣 4핑거","PRICE":"410","UNIT":"15","":"6150","IMG":"키캣 4핑거.jpg"},</v>
      </c>
    </row>
    <row r="141" spans="2:11" ht="14.4" customHeight="1">
      <c r="B141" s="20">
        <v>138</v>
      </c>
      <c r="C141" s="13" t="s">
        <v>11</v>
      </c>
      <c r="D141" s="14" t="s">
        <v>12</v>
      </c>
      <c r="E141" s="24" t="s">
        <v>207</v>
      </c>
      <c r="F141" s="16">
        <v>4000</v>
      </c>
      <c r="G141" s="17">
        <v>1</v>
      </c>
      <c r="H141" s="18">
        <f t="shared" si="12"/>
        <v>4000</v>
      </c>
      <c r="I141" s="19" t="str">
        <f t="shared" si="13"/>
        <v>탑플롯젤리 망고맛 320g.jpg</v>
      </c>
      <c r="J141" s="19"/>
      <c r="K141" s="9" t="str">
        <f t="shared" si="14"/>
        <v>{"ITM_SEQ":"138","TYPE":"식품","TYPE_DTL":"과자","ITM_NM":"탑플롯젤리 망고맛 320g","PRICE":"4000","UNIT":"1","":"4000","IMG":"탑플롯젤리 망고맛 320g.jpg"},</v>
      </c>
    </row>
    <row r="142" spans="2:11" ht="14.4" customHeight="1">
      <c r="B142" s="12">
        <v>139</v>
      </c>
      <c r="C142" s="13" t="s">
        <v>11</v>
      </c>
      <c r="D142" s="14" t="s">
        <v>12</v>
      </c>
      <c r="E142" s="19" t="s">
        <v>124</v>
      </c>
      <c r="F142" s="16">
        <v>2120</v>
      </c>
      <c r="G142" s="17">
        <v>1</v>
      </c>
      <c r="H142" s="18">
        <f t="shared" si="12"/>
        <v>2120</v>
      </c>
      <c r="I142" s="19" t="str">
        <f t="shared" si="13"/>
        <v>틴인틴.jpg</v>
      </c>
      <c r="J142" s="19"/>
      <c r="K142" s="9" t="str">
        <f t="shared" si="14"/>
        <v>{"ITM_SEQ":"139","TYPE":"식품","TYPE_DTL":"과자","ITM_NM":"틴인틴","PRICE":"2120","UNIT":"1","":"2120","IMG":"틴인틴.jpg"},</v>
      </c>
    </row>
    <row r="143" spans="2:11" ht="14.4" customHeight="1">
      <c r="B143" s="20">
        <v>140</v>
      </c>
      <c r="C143" s="13" t="s">
        <v>11</v>
      </c>
      <c r="D143" s="14" t="s">
        <v>12</v>
      </c>
      <c r="E143" s="24" t="s">
        <v>185</v>
      </c>
      <c r="F143" s="16">
        <v>1250</v>
      </c>
      <c r="G143" s="17">
        <v>12</v>
      </c>
      <c r="H143" s="18">
        <f t="shared" si="12"/>
        <v>15000</v>
      </c>
      <c r="I143" s="19" t="str">
        <f t="shared" si="13"/>
        <v>프링글스 오리지날.jpg</v>
      </c>
      <c r="J143" s="19"/>
      <c r="K143" s="9" t="str">
        <f t="shared" si="14"/>
        <v>{"ITM_SEQ":"140","TYPE":"식품","TYPE_DTL":"과자","ITM_NM":"프링글스 오리지날","PRICE":"1250","UNIT":"12","":"15000","IMG":"프링글스 오리지날.jpg"},</v>
      </c>
    </row>
    <row r="144" spans="2:11" ht="14.4" customHeight="1">
      <c r="B144" s="12">
        <v>141</v>
      </c>
      <c r="C144" s="13" t="s">
        <v>11</v>
      </c>
      <c r="D144" s="14" t="s">
        <v>12</v>
      </c>
      <c r="E144" s="19" t="s">
        <v>125</v>
      </c>
      <c r="F144" s="16">
        <v>500</v>
      </c>
      <c r="G144" s="17">
        <v>10</v>
      </c>
      <c r="H144" s="18">
        <f t="shared" si="12"/>
        <v>5000</v>
      </c>
      <c r="I144" s="19" t="str">
        <f t="shared" si="13"/>
        <v>피시스낵 스파이스맛.jpg</v>
      </c>
      <c r="J144" s="19"/>
      <c r="K144" s="9" t="str">
        <f t="shared" si="14"/>
        <v>{"ITM_SEQ":"141","TYPE":"식품","TYPE_DTL":"과자","ITM_NM":"피시스낵 스파이스맛","PRICE":"500","UNIT":"10","":"5000","IMG":"피시스낵 스파이스맛.jpg"},</v>
      </c>
    </row>
    <row r="145" spans="2:11" ht="14.4" customHeight="1">
      <c r="B145" s="20">
        <v>142</v>
      </c>
      <c r="C145" s="13" t="s">
        <v>11</v>
      </c>
      <c r="D145" s="14" t="s">
        <v>13</v>
      </c>
      <c r="E145" s="19" t="s">
        <v>36</v>
      </c>
      <c r="F145" s="16">
        <v>710</v>
      </c>
      <c r="G145" s="17">
        <v>24</v>
      </c>
      <c r="H145" s="18">
        <f t="shared" si="12"/>
        <v>17040</v>
      </c>
      <c r="I145" s="19" t="str">
        <f t="shared" si="13"/>
        <v>핫식스더킹러쉬 355ml.jpg</v>
      </c>
      <c r="J145" s="19"/>
      <c r="K145" s="9" t="str">
        <f t="shared" si="14"/>
        <v>{"ITM_SEQ":"142","TYPE":"식품","TYPE_DTL":"음료","ITM_NM":"핫식스더킹러쉬 355ml","PRICE":"710","UNIT":"24","":"17040","IMG":"핫식스더킹러쉬 355ml.jpg"},</v>
      </c>
    </row>
    <row r="146" spans="2:11" ht="14.4" customHeight="1">
      <c r="B146" s="12">
        <v>143</v>
      </c>
      <c r="C146" s="13" t="s">
        <v>11</v>
      </c>
      <c r="D146" s="14" t="s">
        <v>13</v>
      </c>
      <c r="E146" s="19" t="s">
        <v>133</v>
      </c>
      <c r="F146" s="16">
        <v>850</v>
      </c>
      <c r="G146" s="17">
        <v>24</v>
      </c>
      <c r="H146" s="18">
        <f t="shared" si="12"/>
        <v>20400</v>
      </c>
      <c r="I146" s="19" t="str">
        <f t="shared" si="13"/>
        <v>핫식스더킹크러쉬피치 355ml.jpg</v>
      </c>
      <c r="J146" s="19"/>
      <c r="K146" s="9" t="str">
        <f t="shared" si="14"/>
        <v>{"ITM_SEQ":"143","TYPE":"식품","TYPE_DTL":"음료","ITM_NM":"핫식스더킹크러쉬피치 355ml","PRICE":"850","UNIT":"24","":"20400","IMG":"핫식스더킹크러쉬피치 355ml.jpg"},</v>
      </c>
    </row>
    <row r="147" spans="2:11" ht="14.4" customHeight="1">
      <c r="B147" s="20">
        <v>144</v>
      </c>
      <c r="C147" s="13" t="s">
        <v>11</v>
      </c>
      <c r="D147" s="14" t="s">
        <v>12</v>
      </c>
      <c r="E147" s="27" t="s">
        <v>173</v>
      </c>
      <c r="F147" s="16">
        <v>720</v>
      </c>
      <c r="G147" s="17">
        <v>10</v>
      </c>
      <c r="H147" s="18">
        <f t="shared" si="12"/>
        <v>7200</v>
      </c>
      <c r="I147" s="19" t="str">
        <f t="shared" si="13"/>
        <v>화이트쿠키 빼뺴로.jpg</v>
      </c>
      <c r="J147" s="19"/>
      <c r="K147" s="9" t="str">
        <f t="shared" si="14"/>
        <v>{"ITM_SEQ":"144","TYPE":"식품","TYPE_DTL":"과자","ITM_NM":"화이트쿠키 빼뺴로","PRICE":"720","UNIT":"10","":"7200","IMG":"화이트쿠키 빼뺴로.jpg"},</v>
      </c>
    </row>
    <row r="148" spans="2:11" ht="14.4" customHeight="1">
      <c r="B148" s="12">
        <v>145</v>
      </c>
      <c r="C148" s="13" t="s">
        <v>11</v>
      </c>
      <c r="D148" s="14" t="s">
        <v>12</v>
      </c>
      <c r="E148" s="24" t="s">
        <v>172</v>
      </c>
      <c r="F148" s="16">
        <v>1900</v>
      </c>
      <c r="G148" s="17">
        <v>5</v>
      </c>
      <c r="H148" s="18">
        <f t="shared" si="12"/>
        <v>9500</v>
      </c>
      <c r="I148" s="19" t="str">
        <f t="shared" si="13"/>
        <v>후레쉬베리 6개입.jpg</v>
      </c>
      <c r="J148" s="19"/>
      <c r="K148" s="9" t="str">
        <f t="shared" si="14"/>
        <v>{"ITM_SEQ":"145","TYPE":"식품","TYPE_DTL":"과자","ITM_NM":"후레쉬베리 6개입","PRICE":"1900","UNIT":"5","":"9500","IMG":"후레쉬베리 6개입.jpg"},</v>
      </c>
    </row>
    <row r="149" spans="2:11" ht="14.4" customHeight="1">
      <c r="B149" s="20">
        <v>146</v>
      </c>
      <c r="C149" s="13" t="s">
        <v>6</v>
      </c>
      <c r="D149" s="14" t="s">
        <v>232</v>
      </c>
      <c r="E149" s="21" t="s">
        <v>149</v>
      </c>
      <c r="F149" s="16">
        <v>11830</v>
      </c>
      <c r="G149" s="17">
        <v>1</v>
      </c>
      <c r="H149" s="18">
        <f t="shared" si="12"/>
        <v>11830</v>
      </c>
      <c r="I149" s="19" t="str">
        <f t="shared" si="13"/>
        <v>질레트프로글라이드.jpg</v>
      </c>
      <c r="J149" s="19"/>
      <c r="K149" s="9" t="str">
        <f t="shared" si="14"/>
        <v>{"ITM_SEQ":"146","TYPE":"기타","TYPE_DTL":"면도기","ITM_NM":"질레트프로글라이드","PRICE":"11830","UNIT":"1","":"11830","IMG":"질레트프로글라이드.jpg"},</v>
      </c>
    </row>
    <row r="150" spans="2:11" ht="14.4" customHeight="1">
      <c r="B150" s="12">
        <v>147</v>
      </c>
      <c r="C150" s="13" t="s">
        <v>6</v>
      </c>
      <c r="D150" s="14" t="s">
        <v>235</v>
      </c>
      <c r="E150" s="19" t="s">
        <v>90</v>
      </c>
      <c r="F150" s="16">
        <v>3590</v>
      </c>
      <c r="G150" s="17">
        <v>1</v>
      </c>
      <c r="H150" s="18">
        <f t="shared" si="12"/>
        <v>3590</v>
      </c>
      <c r="I150" s="19" t="str">
        <f t="shared" si="13"/>
        <v>2080닥터크리닉잇몸치약(3개 묶음).jpg</v>
      </c>
      <c r="J150" s="19"/>
      <c r="K150" s="9" t="str">
        <f t="shared" si="14"/>
        <v>{"ITM_SEQ":"147","TYPE":"기타","TYPE_DTL":"구강","ITM_NM":"2080닥터크리닉잇몸치약(3개 묶음)","PRICE":"3590","UNIT":"1","":"3590","IMG":"2080닥터크리닉잇몸치약(3개 묶음).jpg"},</v>
      </c>
    </row>
    <row r="151" spans="2:11" ht="14.4" customHeight="1">
      <c r="B151" s="20">
        <v>148</v>
      </c>
      <c r="C151" s="13" t="s">
        <v>6</v>
      </c>
      <c r="D151" s="14" t="s">
        <v>242</v>
      </c>
      <c r="E151" s="19" t="s">
        <v>91</v>
      </c>
      <c r="F151" s="16">
        <v>9900</v>
      </c>
      <c r="G151" s="17">
        <v>1</v>
      </c>
      <c r="H151" s="18">
        <f t="shared" si="12"/>
        <v>9900</v>
      </c>
      <c r="I151" s="19" t="str">
        <f t="shared" si="13"/>
        <v>AIR MESH 로카티 GMR904.jpg</v>
      </c>
      <c r="J151" s="19"/>
      <c r="K151" s="9" t="str">
        <f t="shared" si="14"/>
        <v>{"ITM_SEQ":"148","TYPE":"기타","TYPE_DTL":"의류","ITM_NM":"AIR MESH 로카티 GMR904","PRICE":"9900","UNIT":"1","":"9900","IMG":"AIR MESH 로카티 GMR904.jpg"},</v>
      </c>
    </row>
    <row r="152" spans="2:11" ht="14.4" customHeight="1">
      <c r="B152" s="12">
        <v>149</v>
      </c>
      <c r="C152" s="13" t="s">
        <v>6</v>
      </c>
      <c r="D152" s="14" t="s">
        <v>242</v>
      </c>
      <c r="E152" s="19" t="s">
        <v>150</v>
      </c>
      <c r="F152" s="16">
        <v>9900</v>
      </c>
      <c r="G152" s="17">
        <v>1</v>
      </c>
      <c r="H152" s="18">
        <f t="shared" si="12"/>
        <v>9900</v>
      </c>
      <c r="I152" s="19" t="str">
        <f t="shared" si="13"/>
        <v>ROKA 반팔티.jpg</v>
      </c>
      <c r="J152" s="19"/>
      <c r="K152" s="9" t="str">
        <f t="shared" si="14"/>
        <v>{"ITM_SEQ":"149","TYPE":"기타","TYPE_DTL":"의류","ITM_NM":"ROKA 반팔티","PRICE":"9900","UNIT":"1","":"9900","IMG":"ROKA 반팔티.jpg"},</v>
      </c>
    </row>
    <row r="153" spans="2:11" ht="14.4" customHeight="1">
      <c r="B153" s="20">
        <v>150</v>
      </c>
      <c r="C153" s="13" t="s">
        <v>6</v>
      </c>
      <c r="D153" s="14" t="s">
        <v>237</v>
      </c>
      <c r="E153" s="19" t="s">
        <v>92</v>
      </c>
      <c r="F153" s="16">
        <v>2700</v>
      </c>
      <c r="G153" s="17">
        <v>1</v>
      </c>
      <c r="H153" s="18">
        <f t="shared" si="12"/>
        <v>2700</v>
      </c>
      <c r="I153" s="19" t="str">
        <f t="shared" si="13"/>
        <v>고농축피죤 써니가든 1.6L.jpg</v>
      </c>
      <c r="J153" s="19"/>
      <c r="K153" s="9" t="str">
        <f t="shared" si="14"/>
        <v>{"ITM_SEQ":"150","TYPE":"기타","TYPE_DTL":"세탁","ITM_NM":"고농축피죤 써니가든 1.6L","PRICE":"2700","UNIT":"1","":"2700","IMG":"고농축피죤 써니가든 1.6L.jpg"},</v>
      </c>
    </row>
    <row r="154" spans="2:11" ht="14.4" customHeight="1">
      <c r="B154" s="12">
        <v>151</v>
      </c>
      <c r="C154" s="13" t="s">
        <v>6</v>
      </c>
      <c r="D154" s="14" t="s">
        <v>237</v>
      </c>
      <c r="E154" s="19" t="s">
        <v>93</v>
      </c>
      <c r="F154" s="16">
        <v>4490</v>
      </c>
      <c r="G154" s="17">
        <v>1</v>
      </c>
      <c r="H154" s="18">
        <f t="shared" si="12"/>
        <v>4490</v>
      </c>
      <c r="I154" s="19" t="str">
        <f t="shared" si="13"/>
        <v>고농축피죤 플라워페스티벌 2.3L.jpg</v>
      </c>
      <c r="J154" s="19"/>
      <c r="K154" s="9" t="str">
        <f t="shared" si="14"/>
        <v>{"ITM_SEQ":"151","TYPE":"기타","TYPE_DTL":"세탁","ITM_NM":"고농축피죤 플라워페스티벌 2.3L","PRICE":"4490","UNIT":"1","":"4490","IMG":"고농축피죤 플라워페스티벌 2.3L.jpg"},</v>
      </c>
    </row>
    <row r="155" spans="2:11" ht="14.4" customHeight="1">
      <c r="B155" s="20">
        <v>152</v>
      </c>
      <c r="C155" s="13" t="s">
        <v>6</v>
      </c>
      <c r="D155" s="14" t="s">
        <v>235</v>
      </c>
      <c r="E155" s="25" t="s">
        <v>157</v>
      </c>
      <c r="F155" s="16">
        <v>1300</v>
      </c>
      <c r="G155" s="17">
        <v>5</v>
      </c>
      <c r="H155" s="18">
        <f t="shared" si="12"/>
        <v>6500</v>
      </c>
      <c r="I155" s="19" t="str">
        <f t="shared" si="13"/>
        <v>2080 덴탈크리닉 뉴샤이닝 화이트 치약, 140g.jpg</v>
      </c>
      <c r="J155" s="19"/>
      <c r="K155" s="9" t="str">
        <f t="shared" si="14"/>
        <v>{"ITM_SEQ":"152","TYPE":"기타","TYPE_DTL":"구강","ITM_NM":"2080 덴탈크리닉 뉴샤이닝 화이트 치약, 140g","PRICE":"1300","UNIT":"5","":"6500","IMG":"2080 덴탈크리닉 뉴샤이닝 화이트 치약, 140g.jpg"},</v>
      </c>
    </row>
    <row r="156" spans="2:11" ht="14.4" customHeight="1">
      <c r="B156" s="12">
        <v>153</v>
      </c>
      <c r="C156" s="13" t="s">
        <v>6</v>
      </c>
      <c r="D156" s="13" t="s">
        <v>6</v>
      </c>
      <c r="E156" s="24" t="s">
        <v>160</v>
      </c>
      <c r="F156" s="16">
        <v>2400</v>
      </c>
      <c r="G156" s="17">
        <v>1</v>
      </c>
      <c r="H156" s="18">
        <f t="shared" si="12"/>
        <v>2400</v>
      </c>
      <c r="I156" s="19" t="str">
        <f t="shared" si="13"/>
        <v>스팀베이스 데일리 아이마스크 라벤더향, 14매입.jpg</v>
      </c>
      <c r="J156" s="19"/>
      <c r="K156" s="9" t="str">
        <f t="shared" si="14"/>
        <v>{"ITM_SEQ":"153","TYPE":"기타","TYPE_DTL":"기타","ITM_NM":"스팀베이스 데일리 아이마스크 라벤더향, 14매입","PRICE":"2400","UNIT":"1","":"2400","IMG":"스팀베이스 데일리 아이마스크 라벤더향, 14매입.jpg"},</v>
      </c>
    </row>
    <row r="157" spans="2:11" ht="14.4" customHeight="1">
      <c r="B157" s="20">
        <v>154</v>
      </c>
      <c r="C157" s="13" t="s">
        <v>6</v>
      </c>
      <c r="D157" s="14" t="s">
        <v>239</v>
      </c>
      <c r="E157" s="24" t="s">
        <v>163</v>
      </c>
      <c r="F157" s="16">
        <v>6860</v>
      </c>
      <c r="G157" s="17">
        <v>1</v>
      </c>
      <c r="H157" s="18">
        <f t="shared" si="12"/>
        <v>6860</v>
      </c>
      <c r="I157" s="19" t="str">
        <f t="shared" si="13"/>
        <v>라보에이치 프로바이오틱스 탈모증상완화 샴푸 두피쿨링, 400ml.jpg</v>
      </c>
      <c r="J157" s="19"/>
      <c r="K157" s="9" t="str">
        <f t="shared" si="14"/>
        <v>{"ITM_SEQ":"154","TYPE":"기타","TYPE_DTL":"두피","ITM_NM":"라보에이치 프로바이오틱스 탈모증상완화 샴푸 두피쿨링, 400ml","PRICE":"6860","UNIT":"1","":"6860","IMG":"라보에이치 프로바이오틱스 탈모증상완화 샴푸 두피쿨링, 400ml.jpg"},</v>
      </c>
    </row>
    <row r="158" spans="2:11" ht="14.4" customHeight="1">
      <c r="B158" s="12">
        <v>155</v>
      </c>
      <c r="C158" s="13" t="s">
        <v>6</v>
      </c>
      <c r="D158" s="14" t="s">
        <v>239</v>
      </c>
      <c r="E158" s="27" t="s">
        <v>164</v>
      </c>
      <c r="F158" s="16">
        <v>4020</v>
      </c>
      <c r="G158" s="17">
        <v>1</v>
      </c>
      <c r="H158" s="18">
        <f t="shared" si="12"/>
        <v>4020</v>
      </c>
      <c r="I158" s="19" t="str">
        <f t="shared" si="13"/>
        <v>려 흑운 모근강화 볼륨케어 샴푸, 500ml.jpg</v>
      </c>
      <c r="J158" s="19"/>
      <c r="K158" s="9" t="str">
        <f t="shared" si="14"/>
        <v>{"ITM_SEQ":"155","TYPE":"기타","TYPE_DTL":"두피","ITM_NM":"려 흑운 모근강화 볼륨케어 샴푸, 500ml","PRICE":"4020","UNIT":"1","":"4020","IMG":"려 흑운 모근강화 볼륨케어 샴푸, 500ml.jpg"},</v>
      </c>
    </row>
    <row r="159" spans="2:11" ht="14.4" customHeight="1">
      <c r="B159" s="20">
        <v>156</v>
      </c>
      <c r="C159" s="26" t="s">
        <v>229</v>
      </c>
      <c r="D159" s="14" t="s">
        <v>89</v>
      </c>
      <c r="E159" s="19" t="s">
        <v>97</v>
      </c>
      <c r="F159" s="16">
        <v>2300</v>
      </c>
      <c r="G159" s="17">
        <v>1</v>
      </c>
      <c r="H159" s="18">
        <f t="shared" si="12"/>
        <v>2300</v>
      </c>
      <c r="I159" s="19" t="str">
        <f t="shared" si="13"/>
        <v>마데카메디패치스팟패피 51매.jpg</v>
      </c>
      <c r="J159" s="19"/>
      <c r="K159" s="9" t="str">
        <f t="shared" si="14"/>
        <v>{"ITM_SEQ":"156","TYPE":"기타","TYPE_DTL":"기타","ITM_NM":"마데카메디패치스팟패피 51매","PRICE":"2300","UNIT":"1","":"2300","IMG":"마데카메디패치스팟패피 51매.jpg"},</v>
      </c>
    </row>
    <row r="160" spans="2:11" ht="14.4" customHeight="1">
      <c r="B160" s="12">
        <v>157</v>
      </c>
      <c r="C160" s="13" t="s">
        <v>6</v>
      </c>
      <c r="D160" s="14" t="s">
        <v>235</v>
      </c>
      <c r="E160" s="19" t="s">
        <v>98</v>
      </c>
      <c r="F160" s="16">
        <v>2370</v>
      </c>
      <c r="G160" s="17">
        <v>1</v>
      </c>
      <c r="H160" s="18">
        <f t="shared" si="12"/>
        <v>2370</v>
      </c>
      <c r="I160" s="19" t="str">
        <f t="shared" si="13"/>
        <v>메디안 미백과학 치약 플럼민트향.jpg</v>
      </c>
      <c r="J160" s="19"/>
      <c r="K160" s="9" t="str">
        <f t="shared" si="14"/>
        <v>{"ITM_SEQ":"157","TYPE":"기타","TYPE_DTL":"구강","ITM_NM":"메디안 미백과학 치약 플럼민트향","PRICE":"2370","UNIT":"1","":"2370","IMG":"메디안 미백과학 치약 플럼민트향.jpg"},</v>
      </c>
    </row>
    <row r="161" spans="2:11" ht="14.4" customHeight="1">
      <c r="B161" s="20">
        <v>158</v>
      </c>
      <c r="C161" s="13" t="s">
        <v>6</v>
      </c>
      <c r="D161" s="14" t="s">
        <v>244</v>
      </c>
      <c r="E161" s="19" t="s">
        <v>101</v>
      </c>
      <c r="F161" s="16">
        <v>11450</v>
      </c>
      <c r="G161" s="17">
        <v>1</v>
      </c>
      <c r="H161" s="18">
        <f t="shared" si="12"/>
        <v>11450</v>
      </c>
      <c r="I161" s="19" t="str">
        <f t="shared" si="13"/>
        <v>불스원 그라스 디퓨저 코튼향(차량방향제).jpg</v>
      </c>
      <c r="J161" s="19"/>
      <c r="K161" s="9" t="str">
        <f t="shared" si="14"/>
        <v>{"ITM_SEQ":"158","TYPE":"기타","TYPE_DTL":"디퓨저","ITM_NM":"불스원 그라스 디퓨저 코튼향(차량방향제)","PRICE":"11450","UNIT":"1","":"11450","IMG":"불스원 그라스 디퓨저 코튼향(차량방향제).jpg"},</v>
      </c>
    </row>
    <row r="162" spans="2:11" ht="14.4" customHeight="1">
      <c r="B162" s="12">
        <v>159</v>
      </c>
      <c r="C162" s="13" t="s">
        <v>6</v>
      </c>
      <c r="D162" s="14" t="s">
        <v>235</v>
      </c>
      <c r="E162" s="24" t="s">
        <v>191</v>
      </c>
      <c r="F162" s="16">
        <v>11900</v>
      </c>
      <c r="G162" s="17">
        <v>1</v>
      </c>
      <c r="H162" s="18">
        <f t="shared" si="12"/>
        <v>11900</v>
      </c>
      <c r="I162" s="19" t="str">
        <f t="shared" si="13"/>
        <v>뷰카 클래식 고불소 구취케어 치약 아쿠아민트향 210g 4개.jpg</v>
      </c>
      <c r="J162" s="19"/>
      <c r="K162" s="9" t="str">
        <f t="shared" si="14"/>
        <v>{"ITM_SEQ":"159","TYPE":"기타","TYPE_DTL":"구강","ITM_NM":"뷰카 클래식 고불소 구취케어 치약 아쿠아민트향 210g 4개","PRICE":"11900","UNIT":"1","":"11900","IMG":"뷰카 클래식 고불소 구취케어 치약 아쿠아민트향 210g 4개.jpg"},</v>
      </c>
    </row>
    <row r="163" spans="2:11" ht="14.4" customHeight="1">
      <c r="B163" s="20">
        <v>160</v>
      </c>
      <c r="C163" s="13" t="s">
        <v>6</v>
      </c>
      <c r="D163" s="14" t="s">
        <v>237</v>
      </c>
      <c r="E163" s="19" t="s">
        <v>102</v>
      </c>
      <c r="F163" s="16">
        <v>5070</v>
      </c>
      <c r="G163" s="17">
        <v>1</v>
      </c>
      <c r="H163" s="18">
        <f t="shared" si="12"/>
        <v>5070</v>
      </c>
      <c r="I163" s="19" t="str">
        <f t="shared" si="13"/>
        <v>비트 트리플액션 2.8L(일반).jpg</v>
      </c>
      <c r="J163" s="19"/>
      <c r="K163" s="9" t="str">
        <f t="shared" si="14"/>
        <v>{"ITM_SEQ":"160","TYPE":"기타","TYPE_DTL":"세탁","ITM_NM":"비트 트리플액션 2.8L(일반)","PRICE":"5070","UNIT":"1","":"5070","IMG":"비트 트리플액션 2.8L(일반).jpg"},</v>
      </c>
    </row>
    <row r="164" spans="2:11" ht="14.4" customHeight="1">
      <c r="B164" s="12">
        <v>161</v>
      </c>
      <c r="C164" s="13" t="s">
        <v>6</v>
      </c>
      <c r="D164" s="14" t="s">
        <v>241</v>
      </c>
      <c r="E164" s="24" t="s">
        <v>201</v>
      </c>
      <c r="F164" s="16">
        <v>6570</v>
      </c>
      <c r="G164" s="17">
        <v>1</v>
      </c>
      <c r="H164" s="18">
        <f t="shared" ref="H164:H177" si="15">F164*G164</f>
        <v>6570</v>
      </c>
      <c r="I164" s="19" t="str">
        <f t="shared" ref="I164:I177" si="16">_xlfn.CONCAT(E164, ".jpg")</f>
        <v>스킨유 이노센트 컴포티우디 샤워젤 500ml.jpg</v>
      </c>
      <c r="J164" s="19"/>
      <c r="K164" s="9" t="str">
        <f t="shared" si="14"/>
        <v>{"ITM_SEQ":"161","TYPE":"기타","TYPE_DTL":"바디","ITM_NM":"스킨유 이노센트 컴포티우디 샤워젤 500ml","PRICE":"6570","UNIT":"1","":"6570","IMG":"스킨유 이노센트 컴포티우디 샤워젤 500ml.jpg"},</v>
      </c>
    </row>
    <row r="165" spans="2:11" ht="14.4" customHeight="1">
      <c r="B165" s="20">
        <v>162</v>
      </c>
      <c r="C165" s="13" t="s">
        <v>11</v>
      </c>
      <c r="D165" s="34" t="s">
        <v>15</v>
      </c>
      <c r="E165" s="19" t="s">
        <v>110</v>
      </c>
      <c r="F165" s="16">
        <v>4140</v>
      </c>
      <c r="G165" s="17">
        <v>1</v>
      </c>
      <c r="H165" s="18">
        <f t="shared" si="15"/>
        <v>4140</v>
      </c>
      <c r="I165" s="19" t="str">
        <f t="shared" si="16"/>
        <v>아워티 핑크리치 캐모마일티 8p.jpg</v>
      </c>
      <c r="J165" s="19"/>
      <c r="K165" s="9" t="str">
        <f t="shared" si="14"/>
        <v>{"ITM_SEQ":"162","TYPE":"식품","TYPE_DTL":"차","ITM_NM":"아워티 핑크리치 캐모마일티 8p","PRICE":"4140","UNIT":"1","":"4140","IMG":"아워티 핑크리치 캐모마일티 8p.jpg"},</v>
      </c>
    </row>
    <row r="166" spans="2:11" ht="14.4" customHeight="1">
      <c r="B166" s="12">
        <v>163</v>
      </c>
      <c r="C166" s="13" t="s">
        <v>6</v>
      </c>
      <c r="D166" s="14" t="s">
        <v>237</v>
      </c>
      <c r="E166" s="24" t="s">
        <v>209</v>
      </c>
      <c r="F166" s="16">
        <v>2690</v>
      </c>
      <c r="G166" s="17">
        <v>1</v>
      </c>
      <c r="H166" s="18">
        <f t="shared" si="15"/>
        <v>2690</v>
      </c>
      <c r="I166" s="19" t="str">
        <f t="shared" si="16"/>
        <v>액츠프리미엄젤 프레쉬 2.7L.jpg</v>
      </c>
      <c r="J166" s="19"/>
      <c r="K166" s="9" t="str">
        <f t="shared" si="14"/>
        <v>{"ITM_SEQ":"163","TYPE":"기타","TYPE_DTL":"세탁","ITM_NM":"액츠프리미엄젤 프레쉬 2.7L","PRICE":"2690","UNIT":"1","":"2690","IMG":"액츠프리미엄젤 프레쉬 2.7L.jpg"},</v>
      </c>
    </row>
    <row r="167" spans="2:11" ht="14.4" customHeight="1">
      <c r="B167" s="20">
        <v>164</v>
      </c>
      <c r="C167" s="13" t="s">
        <v>6</v>
      </c>
      <c r="D167" s="14" t="s">
        <v>237</v>
      </c>
      <c r="E167" s="24" t="s">
        <v>210</v>
      </c>
      <c r="F167" s="16">
        <v>4650</v>
      </c>
      <c r="G167" s="17">
        <v>1</v>
      </c>
      <c r="H167" s="18">
        <f t="shared" si="15"/>
        <v>4650</v>
      </c>
      <c r="I167" s="19" t="str">
        <f t="shared" si="16"/>
        <v>에코버 울세탁세제 허니듀 750ml.jpg</v>
      </c>
      <c r="J167" s="19"/>
      <c r="K167" s="9" t="str">
        <f t="shared" si="14"/>
        <v>{"ITM_SEQ":"164","TYPE":"기타","TYPE_DTL":"세탁","ITM_NM":"에코버 울세탁세제 허니듀 750ml","PRICE":"4650","UNIT":"1","":"4650","IMG":"에코버 울세탁세제 허니듀 750ml.jpg"},</v>
      </c>
    </row>
    <row r="168" spans="2:11" ht="14.4" customHeight="1">
      <c r="B168" s="12">
        <v>165</v>
      </c>
      <c r="C168" s="13" t="s">
        <v>6</v>
      </c>
      <c r="D168" s="14" t="s">
        <v>235</v>
      </c>
      <c r="E168" s="19" t="s">
        <v>132</v>
      </c>
      <c r="F168" s="16">
        <v>1300</v>
      </c>
      <c r="G168" s="17">
        <v>1</v>
      </c>
      <c r="H168" s="18">
        <f t="shared" si="15"/>
        <v>1300</v>
      </c>
      <c r="I168" s="19" t="str">
        <f t="shared" si="16"/>
        <v>엘지생활건강 히말라야 핑크솔트 담은 펌핑 치약 아이스 카밍 민트 285g.jpg</v>
      </c>
      <c r="J168" s="19"/>
      <c r="K168" s="9" t="str">
        <f t="shared" si="14"/>
        <v>{"ITM_SEQ":"165","TYPE":"기타","TYPE_DTL":"구강","ITM_NM":"엘지생활건강 히말라야 핑크솔트 담은 펌핑 치약 아이스 카밍 민트 285g","PRICE":"1300","UNIT":"1","":"1300","IMG":"엘지생활건강 히말라야 핑크솔트 담은 펌핑 치약 아이스 카밍 민트 285g.jpg"},</v>
      </c>
    </row>
    <row r="169" spans="2:11" ht="14.4" customHeight="1">
      <c r="B169" s="20">
        <v>166</v>
      </c>
      <c r="C169" s="31" t="s">
        <v>11</v>
      </c>
      <c r="D169" s="26" t="s">
        <v>223</v>
      </c>
      <c r="E169" s="19" t="s">
        <v>113</v>
      </c>
      <c r="F169" s="16">
        <v>510</v>
      </c>
      <c r="G169" s="17">
        <v>20</v>
      </c>
      <c r="H169" s="18">
        <f t="shared" si="15"/>
        <v>10200</v>
      </c>
      <c r="I169" s="19" t="str">
        <f t="shared" si="16"/>
        <v>왕고래밥볶음양념맛.jpg</v>
      </c>
      <c r="J169" s="19"/>
      <c r="K169" s="9" t="str">
        <f t="shared" si="14"/>
        <v>{"ITM_SEQ":"166","TYPE":"식품","TYPE_DTL":"과자","ITM_NM":"왕고래밥볶음양념맛","PRICE":"510","UNIT":"20","":"10200","IMG":"왕고래밥볶음양념맛.jpg"},</v>
      </c>
    </row>
    <row r="170" spans="2:11" ht="14.4" customHeight="1">
      <c r="B170" s="12">
        <v>167</v>
      </c>
      <c r="C170" s="13" t="s">
        <v>6</v>
      </c>
      <c r="D170" s="14" t="s">
        <v>239</v>
      </c>
      <c r="E170" s="24" t="s">
        <v>215</v>
      </c>
      <c r="F170" s="16">
        <v>3450</v>
      </c>
      <c r="G170" s="17">
        <v>1</v>
      </c>
      <c r="H170" s="18">
        <f t="shared" si="15"/>
        <v>3450</v>
      </c>
      <c r="I170" s="19" t="str">
        <f t="shared" si="16"/>
        <v>케라시스 러블리앤로맨틱 퍼퓸샴푸 980ml.jpg</v>
      </c>
      <c r="J170" s="19"/>
      <c r="K170" s="9" t="str">
        <f t="shared" si="14"/>
        <v>{"ITM_SEQ":"167","TYPE":"기타","TYPE_DTL":"두피","ITM_NM":"케라시스 러블리앤로맨틱 퍼퓸샴푸 980ml","PRICE":"3450","UNIT":"1","":"3450","IMG":"케라시스 러블리앤로맨틱 퍼퓸샴푸 980ml.jpg"},</v>
      </c>
    </row>
    <row r="171" spans="2:11" ht="14.4" customHeight="1">
      <c r="B171" s="20">
        <v>168</v>
      </c>
      <c r="C171" s="13" t="s">
        <v>6</v>
      </c>
      <c r="D171" s="14" t="s">
        <v>242</v>
      </c>
      <c r="E171" s="24" t="s">
        <v>217</v>
      </c>
      <c r="F171" s="16">
        <v>14500</v>
      </c>
      <c r="G171" s="17">
        <v>1</v>
      </c>
      <c r="H171" s="18">
        <f t="shared" si="15"/>
        <v>14500</v>
      </c>
      <c r="I171" s="19" t="str">
        <f t="shared" si="16"/>
        <v>코오롱 ROKA 반팔티 런닝.jpg</v>
      </c>
      <c r="J171" s="19"/>
      <c r="K171" s="9" t="str">
        <f t="shared" si="14"/>
        <v>{"ITM_SEQ":"168","TYPE":"기타","TYPE_DTL":"의류","ITM_NM":"코오롱 ROKA 반팔티 런닝","PRICE":"14500","UNIT":"1","":"14500","IMG":"코오롱 ROKA 반팔티 런닝.jpg"},</v>
      </c>
    </row>
    <row r="172" spans="2:11" ht="14.4" customHeight="1">
      <c r="B172" s="12">
        <v>169</v>
      </c>
      <c r="C172" s="13" t="s">
        <v>6</v>
      </c>
      <c r="D172" s="14" t="s">
        <v>242</v>
      </c>
      <c r="E172" s="27" t="s">
        <v>216</v>
      </c>
      <c r="F172" s="16">
        <v>12560</v>
      </c>
      <c r="G172" s="17">
        <v>1</v>
      </c>
      <c r="H172" s="18">
        <f t="shared" si="15"/>
        <v>12560</v>
      </c>
      <c r="I172" s="19" t="str">
        <f t="shared" si="16"/>
        <v>코오롱 ROKA 반팔티.jpg</v>
      </c>
      <c r="J172" s="19"/>
      <c r="K172" s="9" t="str">
        <f t="shared" ref="K172:K177" si="17">_xlfn.CONCAT("{""",$B$3,""":""",B172,""",""",$C$3,""":""",C172,""",""",$D$3,""":""",D172,""",""",$E$3,""":""",E172,""",""",$F$3,""":""",F172,""",""",$G$3,""":""",G172,""",""",$H$3,""":""",H172,""",""",$I$3,""":""",I172,"""},")</f>
        <v>{"ITM_SEQ":"169","TYPE":"기타","TYPE_DTL":"의류","ITM_NM":"코오롱 ROKA 반팔티","PRICE":"12560","UNIT":"1","":"12560","IMG":"코오롱 ROKA 반팔티.jpg"},</v>
      </c>
    </row>
    <row r="173" spans="2:11" ht="14.4" customHeight="1">
      <c r="B173" s="20">
        <v>170</v>
      </c>
      <c r="C173" s="13" t="s">
        <v>6</v>
      </c>
      <c r="D173" s="14" t="s">
        <v>237</v>
      </c>
      <c r="E173" s="19" t="s">
        <v>122</v>
      </c>
      <c r="F173" s="16">
        <v>8900</v>
      </c>
      <c r="G173" s="17">
        <v>1</v>
      </c>
      <c r="H173" s="18">
        <f t="shared" si="15"/>
        <v>8900</v>
      </c>
      <c r="I173" s="19" t="str">
        <f t="shared" si="16"/>
        <v>테크 특유취 제거 2.7L(일반용).jpg</v>
      </c>
      <c r="J173" s="19"/>
      <c r="K173" s="9" t="str">
        <f t="shared" si="17"/>
        <v>{"ITM_SEQ":"170","TYPE":"기타","TYPE_DTL":"세탁","ITM_NM":"테크 특유취 제거 2.7L(일반용)","PRICE":"8900","UNIT":"1","":"8900","IMG":"테크 특유취 제거 2.7L(일반용).jpg"},</v>
      </c>
    </row>
    <row r="174" spans="2:11" ht="14.4" customHeight="1">
      <c r="B174" s="12">
        <v>171</v>
      </c>
      <c r="C174" s="13" t="s">
        <v>6</v>
      </c>
      <c r="D174" s="14" t="s">
        <v>239</v>
      </c>
      <c r="E174" s="19" t="s">
        <v>123</v>
      </c>
      <c r="F174" s="16">
        <v>4480</v>
      </c>
      <c r="G174" s="17">
        <v>1</v>
      </c>
      <c r="H174" s="18">
        <f t="shared" si="15"/>
        <v>4480</v>
      </c>
      <c r="I174" s="19" t="str">
        <f t="shared" si="16"/>
        <v>티트리 퓨리파잉 토닉 100ml.jpg</v>
      </c>
      <c r="J174" s="19"/>
      <c r="K174" s="9" t="str">
        <f t="shared" si="17"/>
        <v>{"ITM_SEQ":"171","TYPE":"기타","TYPE_DTL":"두피","ITM_NM":"티트리 퓨리파잉 토닉 100ml","PRICE":"4480","UNIT":"1","":"4480","IMG":"티트리 퓨리파잉 토닉 100ml.jpg"},</v>
      </c>
    </row>
    <row r="175" spans="2:11" ht="14.4" customHeight="1">
      <c r="B175" s="20">
        <v>172</v>
      </c>
      <c r="C175" s="26" t="s">
        <v>234</v>
      </c>
      <c r="D175" s="26" t="s">
        <v>225</v>
      </c>
      <c r="E175" s="27" t="s">
        <v>196</v>
      </c>
      <c r="F175" s="16">
        <v>9240</v>
      </c>
      <c r="G175" s="17">
        <v>1</v>
      </c>
      <c r="H175" s="18">
        <f t="shared" si="15"/>
        <v>9240</v>
      </c>
      <c r="I175" s="19" t="str">
        <f t="shared" si="16"/>
        <v>하이뮨 프로틴 밸런스.jpg</v>
      </c>
      <c r="J175" s="19"/>
      <c r="K175" s="9" t="str">
        <f t="shared" si="17"/>
        <v>{"ITM_SEQ":"172","TYPE":"식품","TYPE_DTL":"건강","ITM_NM":"하이뮨 프로틴 밸런스","PRICE":"9240","UNIT":"1","":"9240","IMG":"하이뮨 프로틴 밸런스.jpg"},</v>
      </c>
    </row>
    <row r="176" spans="2:11" ht="14.4" customHeight="1">
      <c r="B176" s="12">
        <v>173</v>
      </c>
      <c r="C176" s="13" t="s">
        <v>6</v>
      </c>
      <c r="D176" s="14" t="s">
        <v>235</v>
      </c>
      <c r="E176" s="27" t="s">
        <v>171</v>
      </c>
      <c r="F176" s="16">
        <v>4210</v>
      </c>
      <c r="G176" s="17">
        <v>1</v>
      </c>
      <c r="H176" s="18">
        <f t="shared" si="15"/>
        <v>4210</v>
      </c>
      <c r="I176" s="19" t="str">
        <f t="shared" si="16"/>
        <v>히말라야 핑크솔트 담은 칫솔.jpg</v>
      </c>
      <c r="J176" s="19"/>
      <c r="K176" s="9" t="str">
        <f t="shared" si="17"/>
        <v>{"ITM_SEQ":"173","TYPE":"기타","TYPE_DTL":"구강","ITM_NM":"히말라야 핑크솔트 담은 칫솔","PRICE":"4210","UNIT":"1","":"4210","IMG":"히말라야 핑크솔트 담은 칫솔.jpg"},</v>
      </c>
    </row>
    <row r="177" spans="2:11" ht="14.4" customHeight="1">
      <c r="B177" s="20">
        <v>174</v>
      </c>
      <c r="C177" s="13" t="s">
        <v>17</v>
      </c>
      <c r="D177" s="37" t="s">
        <v>862</v>
      </c>
      <c r="E177" s="27" t="s">
        <v>176</v>
      </c>
      <c r="F177" s="16">
        <v>5700</v>
      </c>
      <c r="G177" s="17">
        <v>1</v>
      </c>
      <c r="H177" s="18">
        <f t="shared" si="15"/>
        <v>5700</v>
      </c>
      <c r="I177" s="19" t="str">
        <f t="shared" si="16"/>
        <v>듀이트리 울트라 바이탈라이징 스네일 에멀전, 150ml.jpg</v>
      </c>
      <c r="J177" s="19"/>
      <c r="K177" s="9" t="str">
        <f t="shared" si="17"/>
        <v>{"ITM_SEQ":"174","TYPE":"화장품","TYPE_DTL":"로션/에멀전","ITM_NM":"듀이트리 울트라 바이탈라이징 스네일 에멀전, 150ml","PRICE":"5700","UNIT":"1","":"5700","IMG":"듀이트리 울트라 바이탈라이징 스네일 에멀전, 150ml.jpg"},</v>
      </c>
    </row>
    <row r="178" spans="2:11" ht="14.4" customHeight="1">
      <c r="B178" s="20"/>
      <c r="C178" s="13"/>
      <c r="D178" s="14"/>
      <c r="E178" s="19"/>
      <c r="F178" s="16"/>
      <c r="G178" s="17"/>
      <c r="H178" s="18"/>
      <c r="I178" s="29"/>
      <c r="J178" s="19"/>
      <c r="K178" s="9" t="s">
        <v>41</v>
      </c>
    </row>
    <row r="179" spans="2:11" ht="14.4" customHeight="1">
      <c r="G179" s="3"/>
    </row>
    <row r="180" spans="2:11" ht="14.4" customHeight="1">
      <c r="G180" s="3"/>
    </row>
    <row r="181" spans="2:11" ht="14.4" customHeight="1">
      <c r="G181" s="3"/>
    </row>
    <row r="182" spans="2:11" ht="14.4" customHeight="1">
      <c r="G182" s="3"/>
    </row>
    <row r="183" spans="2:11" ht="14.4" customHeight="1">
      <c r="G183" s="3"/>
    </row>
    <row r="184" spans="2:11" ht="14.4" customHeight="1">
      <c r="G184" s="3"/>
    </row>
    <row r="185" spans="2:11" ht="14.4" customHeight="1">
      <c r="G185" s="3"/>
    </row>
    <row r="186" spans="2:11" ht="14.4" customHeight="1">
      <c r="G186" s="3"/>
    </row>
    <row r="187" spans="2:11" ht="14.4" customHeight="1">
      <c r="G187" s="3"/>
    </row>
    <row r="188" spans="2:11" ht="14.4" customHeight="1">
      <c r="G188" s="3"/>
    </row>
    <row r="189" spans="2:11" ht="14.4" customHeight="1">
      <c r="G189" s="3"/>
    </row>
    <row r="190" spans="2:11" ht="14.4" customHeight="1">
      <c r="G190" s="3"/>
    </row>
    <row r="191" spans="2:11" ht="14.4" customHeight="1">
      <c r="G191" s="3"/>
    </row>
    <row r="192" spans="2:11" ht="14.4" customHeight="1">
      <c r="G192" s="3"/>
    </row>
    <row r="193" spans="7:7" ht="14.4" customHeight="1">
      <c r="G193" s="3"/>
    </row>
    <row r="194" spans="7:7" ht="14.4" customHeight="1">
      <c r="G194" s="3"/>
    </row>
    <row r="195" spans="7:7" ht="14.4" customHeight="1">
      <c r="G195" s="3"/>
    </row>
    <row r="196" spans="7:7" ht="14.4" customHeight="1">
      <c r="G196" s="3"/>
    </row>
    <row r="197" spans="7:7" ht="14.4" customHeight="1">
      <c r="G197" s="3"/>
    </row>
    <row r="198" spans="7:7" ht="14.4" customHeight="1">
      <c r="G198" s="3"/>
    </row>
    <row r="199" spans="7:7" ht="14.4" customHeight="1">
      <c r="G199" s="3"/>
    </row>
    <row r="200" spans="7:7" ht="14.4" customHeight="1">
      <c r="G200" s="3"/>
    </row>
    <row r="201" spans="7:7" ht="14.4" customHeight="1">
      <c r="G201" s="3"/>
    </row>
    <row r="202" spans="7:7" ht="14.4" customHeight="1">
      <c r="G202" s="3"/>
    </row>
    <row r="203" spans="7:7" ht="14.4" customHeight="1">
      <c r="G203" s="3"/>
    </row>
    <row r="204" spans="7:7" ht="14.4" customHeight="1">
      <c r="G204" s="3"/>
    </row>
    <row r="205" spans="7:7" ht="14.4" customHeight="1">
      <c r="G205" s="3"/>
    </row>
    <row r="206" spans="7:7" ht="14.4" customHeight="1">
      <c r="G206" s="3"/>
    </row>
    <row r="207" spans="7:7" ht="14.4" customHeight="1">
      <c r="G207" s="3"/>
    </row>
    <row r="208" spans="7:7" ht="14.4" customHeight="1">
      <c r="G208" s="3"/>
    </row>
    <row r="209" spans="7:7" ht="14.4" customHeight="1">
      <c r="G209" s="3"/>
    </row>
    <row r="210" spans="7:7" ht="14.4" customHeight="1">
      <c r="G210" s="3"/>
    </row>
    <row r="211" spans="7:7" ht="14.4" customHeight="1">
      <c r="G211" s="3"/>
    </row>
    <row r="212" spans="7:7" ht="14.4" customHeight="1">
      <c r="G212" s="3"/>
    </row>
    <row r="213" spans="7:7" ht="14.4" customHeight="1">
      <c r="G213" s="3"/>
    </row>
    <row r="214" spans="7:7" ht="14.4" customHeight="1">
      <c r="G214" s="3"/>
    </row>
    <row r="215" spans="7:7" ht="14.4" customHeight="1">
      <c r="G215" s="3"/>
    </row>
    <row r="216" spans="7:7" ht="14.4" customHeight="1">
      <c r="G216" s="3"/>
    </row>
    <row r="217" spans="7:7" ht="14.4" customHeight="1">
      <c r="G217" s="3"/>
    </row>
    <row r="218" spans="7:7" ht="14.4" customHeight="1">
      <c r="G218" s="3"/>
    </row>
    <row r="219" spans="7:7" ht="14.4" customHeight="1">
      <c r="G219" s="3"/>
    </row>
    <row r="220" spans="7:7" ht="14.4" customHeight="1">
      <c r="G220" s="3"/>
    </row>
    <row r="221" spans="7:7" ht="14.4" customHeight="1">
      <c r="G221" s="3"/>
    </row>
    <row r="222" spans="7:7" ht="14.4" customHeight="1">
      <c r="G222" s="3"/>
    </row>
    <row r="223" spans="7:7" ht="14.4" customHeight="1">
      <c r="G223" s="3"/>
    </row>
    <row r="224" spans="7:7" ht="14.4" customHeight="1">
      <c r="G224" s="3"/>
    </row>
    <row r="225" spans="7:7" ht="14.4" customHeight="1">
      <c r="G225" s="3"/>
    </row>
    <row r="226" spans="7:7" ht="14.4" customHeight="1">
      <c r="G226" s="3"/>
    </row>
    <row r="227" spans="7:7" ht="14.4" customHeight="1">
      <c r="G227" s="3"/>
    </row>
    <row r="228" spans="7:7" ht="14.4" customHeight="1">
      <c r="G228" s="3"/>
    </row>
    <row r="229" spans="7:7" ht="14.4" customHeight="1">
      <c r="G229" s="3"/>
    </row>
    <row r="230" spans="7:7" ht="14.4" customHeight="1">
      <c r="G230" s="3"/>
    </row>
    <row r="231" spans="7:7" ht="14.4" customHeight="1">
      <c r="G231" s="3"/>
    </row>
    <row r="232" spans="7:7" ht="14.4" customHeight="1">
      <c r="G232" s="3"/>
    </row>
    <row r="233" spans="7:7" ht="14.4" customHeight="1">
      <c r="G233" s="3"/>
    </row>
    <row r="234" spans="7:7" ht="14.4" customHeight="1">
      <c r="G234" s="3"/>
    </row>
    <row r="235" spans="7:7" ht="14.4" customHeight="1">
      <c r="G235" s="3"/>
    </row>
    <row r="236" spans="7:7" ht="14.4" customHeight="1">
      <c r="G236" s="3"/>
    </row>
    <row r="237" spans="7:7" ht="14.4" customHeight="1">
      <c r="G237" s="3"/>
    </row>
    <row r="238" spans="7:7" ht="14.4" customHeight="1">
      <c r="G238" s="3"/>
    </row>
    <row r="239" spans="7:7" ht="14.4" customHeight="1">
      <c r="G239" s="3"/>
    </row>
    <row r="240" spans="7:7" ht="14.4" customHeight="1">
      <c r="G240" s="3"/>
    </row>
    <row r="241" spans="7:7" ht="14.4" customHeight="1">
      <c r="G241" s="3"/>
    </row>
    <row r="242" spans="7:7" ht="14.4" customHeight="1">
      <c r="G242" s="3"/>
    </row>
    <row r="243" spans="7:7" ht="14.4" customHeight="1">
      <c r="G243" s="3"/>
    </row>
    <row r="244" spans="7:7" ht="14.4" customHeight="1">
      <c r="G244" s="3"/>
    </row>
    <row r="245" spans="7:7" ht="14.4" customHeight="1">
      <c r="G245" s="3"/>
    </row>
    <row r="246" spans="7:7" ht="14.4" customHeight="1">
      <c r="G246" s="3"/>
    </row>
    <row r="247" spans="7:7" ht="14.4" customHeight="1">
      <c r="G247" s="3"/>
    </row>
    <row r="248" spans="7:7" ht="14.4" customHeight="1">
      <c r="G248" s="3"/>
    </row>
    <row r="249" spans="7:7" ht="14.4" customHeight="1">
      <c r="G249" s="3"/>
    </row>
    <row r="250" spans="7:7" ht="14.4" customHeight="1">
      <c r="G250" s="3"/>
    </row>
    <row r="251" spans="7:7" ht="14.4" customHeight="1">
      <c r="G251" s="3"/>
    </row>
    <row r="252" spans="7:7" ht="14.4" customHeight="1">
      <c r="G252" s="3"/>
    </row>
    <row r="253" spans="7:7" ht="14.4" customHeight="1">
      <c r="G253" s="3"/>
    </row>
    <row r="254" spans="7:7" ht="14.4" customHeight="1">
      <c r="G254" s="3"/>
    </row>
    <row r="255" spans="7:7" ht="14.4" customHeight="1">
      <c r="G255" s="3"/>
    </row>
    <row r="256" spans="7:7" ht="14.4" customHeight="1">
      <c r="G256" s="3"/>
    </row>
    <row r="257" spans="7:7" ht="14.4" customHeight="1">
      <c r="G257" s="3"/>
    </row>
    <row r="258" spans="7:7" ht="14.4" customHeight="1">
      <c r="G258" s="3"/>
    </row>
    <row r="259" spans="7:7" ht="14.4" customHeight="1">
      <c r="G259" s="3"/>
    </row>
    <row r="260" spans="7:7" ht="14.4" customHeight="1">
      <c r="G260" s="3"/>
    </row>
    <row r="261" spans="7:7" ht="14.4" customHeight="1">
      <c r="G261" s="3"/>
    </row>
    <row r="262" spans="7:7" ht="14.4" customHeight="1">
      <c r="G262" s="3"/>
    </row>
    <row r="263" spans="7:7" ht="14.4" customHeight="1">
      <c r="G263" s="3"/>
    </row>
    <row r="264" spans="7:7" ht="14.4" customHeight="1">
      <c r="G264" s="3"/>
    </row>
    <row r="265" spans="7:7" ht="14.4" customHeight="1">
      <c r="G265" s="3"/>
    </row>
    <row r="266" spans="7:7" ht="14.4" customHeight="1">
      <c r="G266" s="3"/>
    </row>
    <row r="267" spans="7:7" ht="14.4" customHeight="1">
      <c r="G267" s="3"/>
    </row>
    <row r="268" spans="7:7" ht="14.4" customHeight="1">
      <c r="G268" s="3"/>
    </row>
    <row r="269" spans="7:7" ht="14.4" customHeight="1">
      <c r="G269" s="3"/>
    </row>
    <row r="270" spans="7:7" ht="14.4" customHeight="1">
      <c r="G270" s="3"/>
    </row>
    <row r="271" spans="7:7" ht="14.4" customHeight="1">
      <c r="G271" s="3"/>
    </row>
    <row r="272" spans="7:7" ht="14.4" customHeight="1">
      <c r="G272" s="3"/>
    </row>
    <row r="273" spans="7:7" ht="14.4" customHeight="1">
      <c r="G273" s="3"/>
    </row>
    <row r="274" spans="7:7" ht="14.4" customHeight="1">
      <c r="G274" s="3"/>
    </row>
    <row r="275" spans="7:7" ht="14.4" customHeight="1">
      <c r="G275" s="3"/>
    </row>
    <row r="276" spans="7:7" ht="14.4" customHeight="1">
      <c r="G276" s="3"/>
    </row>
    <row r="277" spans="7:7" ht="14.4" customHeight="1">
      <c r="G277" s="3"/>
    </row>
    <row r="278" spans="7:7" ht="14.4" customHeight="1">
      <c r="G278" s="3"/>
    </row>
    <row r="279" spans="7:7" ht="14.4" customHeight="1">
      <c r="G279" s="3"/>
    </row>
    <row r="280" spans="7:7" ht="14.4" customHeight="1">
      <c r="G280" s="3"/>
    </row>
    <row r="281" spans="7:7" ht="14.4" customHeight="1">
      <c r="G281" s="3"/>
    </row>
    <row r="282" spans="7:7" ht="14.4" customHeight="1">
      <c r="G282" s="3"/>
    </row>
    <row r="283" spans="7:7" ht="14.4" customHeight="1">
      <c r="G283" s="3"/>
    </row>
    <row r="284" spans="7:7" ht="14.4" customHeight="1">
      <c r="G284" s="3"/>
    </row>
    <row r="285" spans="7:7" ht="14.4" customHeight="1">
      <c r="G285" s="3"/>
    </row>
    <row r="286" spans="7:7" ht="14.4" customHeight="1">
      <c r="G286" s="3"/>
    </row>
    <row r="287" spans="7:7" ht="14.4" customHeight="1">
      <c r="G287" s="3"/>
    </row>
    <row r="288" spans="7:7" ht="14.4" customHeight="1">
      <c r="G288" s="3"/>
    </row>
    <row r="289" spans="7:7" ht="14.4" customHeight="1">
      <c r="G289" s="3"/>
    </row>
    <row r="290" spans="7:7" ht="14.4" customHeight="1">
      <c r="G290" s="3"/>
    </row>
    <row r="291" spans="7:7" ht="14.4" customHeight="1">
      <c r="G291" s="3"/>
    </row>
    <row r="292" spans="7:7" ht="14.4" customHeight="1">
      <c r="G292" s="3"/>
    </row>
    <row r="293" spans="7:7" ht="14.4" customHeight="1">
      <c r="G293" s="3"/>
    </row>
    <row r="294" spans="7:7" ht="14.4" customHeight="1">
      <c r="G294" s="3"/>
    </row>
    <row r="295" spans="7:7" ht="14.4" customHeight="1">
      <c r="G295" s="3"/>
    </row>
    <row r="296" spans="7:7" ht="14.4" customHeight="1">
      <c r="G296" s="3"/>
    </row>
    <row r="297" spans="7:7" ht="14.4" customHeight="1">
      <c r="G297" s="3"/>
    </row>
    <row r="298" spans="7:7" ht="14.4" customHeight="1">
      <c r="G298" s="3"/>
    </row>
    <row r="299" spans="7:7" ht="14.4" customHeight="1">
      <c r="G299" s="3"/>
    </row>
    <row r="300" spans="7:7" ht="14.4" customHeight="1">
      <c r="G300" s="3"/>
    </row>
    <row r="301" spans="7:7" ht="14.4" customHeight="1">
      <c r="G301" s="3"/>
    </row>
    <row r="302" spans="7:7" ht="14.4" customHeight="1">
      <c r="G302" s="3"/>
    </row>
    <row r="303" spans="7:7" ht="14.4" customHeight="1">
      <c r="G303" s="3"/>
    </row>
    <row r="304" spans="7:7" ht="14.4" customHeight="1">
      <c r="G304" s="3"/>
    </row>
    <row r="305" spans="7:7" ht="14.4" customHeight="1">
      <c r="G305" s="3"/>
    </row>
    <row r="306" spans="7:7" ht="14.4" customHeight="1">
      <c r="G306" s="3"/>
    </row>
    <row r="307" spans="7:7" ht="14.4" customHeight="1">
      <c r="G307" s="3"/>
    </row>
    <row r="308" spans="7:7" ht="14.4" customHeight="1">
      <c r="G308" s="3"/>
    </row>
    <row r="309" spans="7:7" ht="14.4" customHeight="1">
      <c r="G309" s="3"/>
    </row>
    <row r="310" spans="7:7" ht="14.4" customHeight="1">
      <c r="G310" s="3"/>
    </row>
    <row r="311" spans="7:7" ht="14.4" customHeight="1">
      <c r="G311" s="3"/>
    </row>
    <row r="312" spans="7:7" ht="14.4" customHeight="1">
      <c r="G312" s="3"/>
    </row>
    <row r="313" spans="7:7" ht="14.4" customHeight="1">
      <c r="G313" s="3"/>
    </row>
    <row r="314" spans="7:7" ht="14.4" customHeight="1">
      <c r="G314" s="3"/>
    </row>
    <row r="315" spans="7:7" ht="14.4" customHeight="1">
      <c r="G315" s="3"/>
    </row>
    <row r="316" spans="7:7" ht="14.4" customHeight="1">
      <c r="G316" s="3"/>
    </row>
    <row r="317" spans="7:7" ht="14.4" customHeight="1">
      <c r="G317" s="3"/>
    </row>
    <row r="318" spans="7:7" ht="14.4" customHeight="1">
      <c r="G318" s="3"/>
    </row>
    <row r="319" spans="7:7" ht="14.4" customHeight="1">
      <c r="G319" s="3"/>
    </row>
    <row r="320" spans="7:7" ht="14.4" customHeight="1">
      <c r="G320" s="3"/>
    </row>
    <row r="321" spans="7:7" ht="14.4" customHeight="1">
      <c r="G321" s="3"/>
    </row>
    <row r="322" spans="7:7" ht="14.4" customHeight="1">
      <c r="G322" s="3"/>
    </row>
    <row r="323" spans="7:7" ht="14.4" customHeight="1">
      <c r="G323" s="3"/>
    </row>
    <row r="324" spans="7:7" ht="14.4" customHeight="1">
      <c r="G324" s="3"/>
    </row>
    <row r="325" spans="7:7" ht="14.4" customHeight="1">
      <c r="G325" s="3"/>
    </row>
    <row r="326" spans="7:7" ht="14.4" customHeight="1">
      <c r="G326" s="3"/>
    </row>
    <row r="327" spans="7:7" ht="14.4" customHeight="1">
      <c r="G327" s="3"/>
    </row>
    <row r="328" spans="7:7" ht="14.4" customHeight="1">
      <c r="G328" s="3"/>
    </row>
    <row r="329" spans="7:7" ht="14.4" customHeight="1">
      <c r="G329" s="3"/>
    </row>
    <row r="330" spans="7:7" ht="14.4" customHeight="1">
      <c r="G330" s="3"/>
    </row>
    <row r="331" spans="7:7" ht="14.4" customHeight="1">
      <c r="G331" s="3"/>
    </row>
    <row r="332" spans="7:7" ht="14.4" customHeight="1">
      <c r="G332" s="3"/>
    </row>
    <row r="333" spans="7:7" ht="14.4" customHeight="1">
      <c r="G333" s="3"/>
    </row>
    <row r="334" spans="7:7" ht="14.4" customHeight="1">
      <c r="G334" s="3"/>
    </row>
    <row r="335" spans="7:7" ht="14.4" customHeight="1">
      <c r="G335" s="3"/>
    </row>
    <row r="336" spans="7:7" ht="14.4" customHeight="1">
      <c r="G336" s="3"/>
    </row>
    <row r="337" spans="7:7" ht="14.4" customHeight="1">
      <c r="G337" s="3"/>
    </row>
    <row r="338" spans="7:7" ht="14.4" customHeight="1">
      <c r="G338" s="3"/>
    </row>
    <row r="339" spans="7:7" ht="14.4" customHeight="1">
      <c r="G339" s="3"/>
    </row>
    <row r="340" spans="7:7" ht="14.4" customHeight="1">
      <c r="G340" s="3"/>
    </row>
    <row r="341" spans="7:7" ht="14.4" customHeight="1">
      <c r="G341" s="3"/>
    </row>
    <row r="342" spans="7:7" ht="14.4" customHeight="1">
      <c r="G342" s="3"/>
    </row>
    <row r="343" spans="7:7" ht="14.4" customHeight="1">
      <c r="G343" s="3"/>
    </row>
    <row r="344" spans="7:7" ht="14.4" customHeight="1">
      <c r="G344" s="3"/>
    </row>
    <row r="345" spans="7:7" ht="14.4" customHeight="1">
      <c r="G345" s="3"/>
    </row>
    <row r="346" spans="7:7" ht="14.4" customHeight="1">
      <c r="G346" s="3"/>
    </row>
    <row r="347" spans="7:7" ht="14.4" customHeight="1">
      <c r="G347" s="3"/>
    </row>
    <row r="348" spans="7:7" ht="14.4" customHeight="1">
      <c r="G348" s="3"/>
    </row>
    <row r="349" spans="7:7" ht="14.4" customHeight="1">
      <c r="G349" s="3"/>
    </row>
    <row r="350" spans="7:7" ht="14.4" customHeight="1">
      <c r="G350" s="3"/>
    </row>
    <row r="351" spans="7:7" ht="14.4" customHeight="1">
      <c r="G351" s="3"/>
    </row>
    <row r="352" spans="7:7" ht="14.4" customHeight="1">
      <c r="G352" s="3"/>
    </row>
    <row r="353" spans="7:7" ht="14.4" customHeight="1">
      <c r="G353" s="3"/>
    </row>
    <row r="354" spans="7:7" ht="14.4" customHeight="1">
      <c r="G354" s="3"/>
    </row>
    <row r="355" spans="7:7" ht="14.4" customHeight="1">
      <c r="G355" s="3"/>
    </row>
    <row r="356" spans="7:7" ht="14.4" customHeight="1">
      <c r="G356" s="3"/>
    </row>
    <row r="357" spans="7:7" ht="14.4" customHeight="1">
      <c r="G357" s="3"/>
    </row>
    <row r="358" spans="7:7" ht="14.4" customHeight="1">
      <c r="G358" s="3"/>
    </row>
    <row r="359" spans="7:7" ht="14.4" customHeight="1">
      <c r="G359" s="3"/>
    </row>
    <row r="360" spans="7:7" ht="14.4" customHeight="1">
      <c r="G360" s="3"/>
    </row>
    <row r="361" spans="7:7" ht="14.4" customHeight="1">
      <c r="G361" s="3"/>
    </row>
    <row r="362" spans="7:7" ht="14.4" customHeight="1">
      <c r="G362" s="3"/>
    </row>
    <row r="363" spans="7:7" ht="14.4" customHeight="1">
      <c r="G363" s="3"/>
    </row>
    <row r="364" spans="7:7" ht="14.4" customHeight="1">
      <c r="G364" s="3"/>
    </row>
    <row r="365" spans="7:7" ht="14.4" customHeight="1">
      <c r="G365" s="3"/>
    </row>
    <row r="366" spans="7:7" ht="14.4" customHeight="1">
      <c r="G366" s="3"/>
    </row>
    <row r="367" spans="7:7" ht="14.4" customHeight="1">
      <c r="G367" s="3"/>
    </row>
    <row r="368" spans="7:7" ht="14.4" customHeight="1">
      <c r="G368" s="3"/>
    </row>
    <row r="369" spans="7:7" ht="14.4" customHeight="1">
      <c r="G369" s="3"/>
    </row>
    <row r="370" spans="7:7" ht="14.4" customHeight="1">
      <c r="G370" s="3"/>
    </row>
    <row r="371" spans="7:7" ht="14.4" customHeight="1">
      <c r="G371" s="3"/>
    </row>
    <row r="372" spans="7:7" ht="14.4" customHeight="1">
      <c r="G372" s="3"/>
    </row>
    <row r="373" spans="7:7" ht="14.4" customHeight="1">
      <c r="G373" s="3"/>
    </row>
    <row r="374" spans="7:7" ht="14.4" customHeight="1">
      <c r="G374" s="3"/>
    </row>
    <row r="375" spans="7:7" ht="14.4" customHeight="1">
      <c r="G375" s="3"/>
    </row>
    <row r="376" spans="7:7" ht="14.4" customHeight="1">
      <c r="G376" s="3"/>
    </row>
    <row r="377" spans="7:7" ht="14.4" customHeight="1">
      <c r="G377" s="3"/>
    </row>
    <row r="378" spans="7:7" ht="14.4" customHeight="1">
      <c r="G378" s="3"/>
    </row>
    <row r="379" spans="7:7" ht="14.4" customHeight="1">
      <c r="G379" s="3"/>
    </row>
    <row r="380" spans="7:7" ht="14.4" customHeight="1">
      <c r="G380" s="3"/>
    </row>
    <row r="381" spans="7:7" ht="14.4" customHeight="1">
      <c r="G381" s="3"/>
    </row>
    <row r="382" spans="7:7" ht="14.4" customHeight="1">
      <c r="G382" s="3"/>
    </row>
    <row r="383" spans="7:7" ht="14.4" customHeight="1">
      <c r="G383" s="3"/>
    </row>
    <row r="384" spans="7:7" ht="14.4" customHeight="1">
      <c r="G384" s="3"/>
    </row>
    <row r="385" spans="7:7" ht="14.4" customHeight="1">
      <c r="G385" s="3"/>
    </row>
    <row r="386" spans="7:7" ht="14.4" customHeight="1">
      <c r="G386" s="3"/>
    </row>
    <row r="387" spans="7:7" ht="14.4" customHeight="1">
      <c r="G387" s="3"/>
    </row>
    <row r="388" spans="7:7" ht="14.4" customHeight="1">
      <c r="G388" s="3"/>
    </row>
    <row r="389" spans="7:7" ht="14.4" customHeight="1">
      <c r="G389" s="3"/>
    </row>
    <row r="390" spans="7:7" ht="14.4" customHeight="1">
      <c r="G390" s="3"/>
    </row>
    <row r="391" spans="7:7" ht="14.4" customHeight="1">
      <c r="G391" s="3"/>
    </row>
    <row r="392" spans="7:7" ht="14.4" customHeight="1">
      <c r="G392" s="3"/>
    </row>
    <row r="393" spans="7:7" ht="14.4" customHeight="1">
      <c r="G393" s="3"/>
    </row>
    <row r="394" spans="7:7" ht="14.4" customHeight="1">
      <c r="G394" s="3"/>
    </row>
    <row r="395" spans="7:7" ht="14.4" customHeight="1">
      <c r="G395" s="3"/>
    </row>
    <row r="396" spans="7:7" ht="14.4" customHeight="1">
      <c r="G396" s="3"/>
    </row>
    <row r="397" spans="7:7" ht="14.4" customHeight="1">
      <c r="G397" s="3"/>
    </row>
    <row r="398" spans="7:7" ht="14.4" customHeight="1">
      <c r="G398" s="3"/>
    </row>
    <row r="399" spans="7:7" ht="14.4" customHeight="1">
      <c r="G399" s="3"/>
    </row>
    <row r="400" spans="7:7" ht="14.4" customHeight="1">
      <c r="G400" s="3"/>
    </row>
    <row r="401" spans="7:7" ht="14.4" customHeight="1">
      <c r="G401" s="3"/>
    </row>
    <row r="402" spans="7:7" ht="14.4" customHeight="1">
      <c r="G402" s="3"/>
    </row>
    <row r="403" spans="7:7" ht="14.4" customHeight="1">
      <c r="G403" s="3"/>
    </row>
    <row r="404" spans="7:7" ht="14.4" customHeight="1">
      <c r="G404" s="3"/>
    </row>
    <row r="405" spans="7:7" ht="14.4" customHeight="1">
      <c r="G405" s="3"/>
    </row>
    <row r="406" spans="7:7" ht="14.4" customHeight="1">
      <c r="G406" s="3"/>
    </row>
    <row r="407" spans="7:7" ht="14.4" customHeight="1">
      <c r="G407" s="3"/>
    </row>
    <row r="408" spans="7:7" ht="14.4" customHeight="1">
      <c r="G408" s="3"/>
    </row>
    <row r="409" spans="7:7" ht="14.4" customHeight="1">
      <c r="G409" s="3"/>
    </row>
    <row r="410" spans="7:7" ht="14.4" customHeight="1">
      <c r="G410" s="3"/>
    </row>
    <row r="411" spans="7:7" ht="14.4" customHeight="1">
      <c r="G411" s="3"/>
    </row>
    <row r="412" spans="7:7" ht="14.4" customHeight="1">
      <c r="G412" s="3"/>
    </row>
    <row r="413" spans="7:7" ht="14.4" customHeight="1">
      <c r="G413" s="3"/>
    </row>
    <row r="414" spans="7:7" ht="14.4" customHeight="1">
      <c r="G414" s="3"/>
    </row>
    <row r="415" spans="7:7" ht="14.4" customHeight="1">
      <c r="G415" s="3"/>
    </row>
    <row r="416" spans="7:7" ht="14.4" customHeight="1">
      <c r="G416" s="3"/>
    </row>
    <row r="417" spans="7:7" ht="14.4" customHeight="1">
      <c r="G417" s="3"/>
    </row>
    <row r="418" spans="7:7" ht="14.4" customHeight="1">
      <c r="G418" s="3"/>
    </row>
    <row r="419" spans="7:7" ht="14.4" customHeight="1">
      <c r="G419" s="3"/>
    </row>
    <row r="420" spans="7:7" ht="14.4" customHeight="1">
      <c r="G420" s="3"/>
    </row>
    <row r="421" spans="7:7" ht="14.4" customHeight="1">
      <c r="G421" s="3"/>
    </row>
    <row r="422" spans="7:7" ht="14.4" customHeight="1">
      <c r="G422" s="3"/>
    </row>
    <row r="423" spans="7:7" ht="14.4" customHeight="1">
      <c r="G423" s="3"/>
    </row>
    <row r="424" spans="7:7" ht="14.4" customHeight="1">
      <c r="G424" s="3"/>
    </row>
    <row r="425" spans="7:7" ht="14.4" customHeight="1">
      <c r="G425" s="3"/>
    </row>
    <row r="426" spans="7:7" ht="14.4" customHeight="1">
      <c r="G426" s="3"/>
    </row>
    <row r="427" spans="7:7" ht="14.4" customHeight="1">
      <c r="G427" s="3"/>
    </row>
    <row r="428" spans="7:7" ht="14.4" customHeight="1">
      <c r="G428" s="3"/>
    </row>
    <row r="429" spans="7:7" ht="14.4" customHeight="1">
      <c r="G429" s="3"/>
    </row>
    <row r="430" spans="7:7" ht="14.4" customHeight="1">
      <c r="G430" s="3"/>
    </row>
    <row r="431" spans="7:7" ht="14.4" customHeight="1">
      <c r="G431" s="3"/>
    </row>
    <row r="432" spans="7:7" ht="14.4" customHeight="1">
      <c r="G432" s="3"/>
    </row>
    <row r="433" spans="7:7" ht="14.4" customHeight="1">
      <c r="G433" s="3"/>
    </row>
  </sheetData>
  <autoFilter ref="B3:J178" xr:uid="{FFC70EA4-87C6-44F8-A254-94EBEE5F6E1D}">
    <sortState xmlns:xlrd2="http://schemas.microsoft.com/office/spreadsheetml/2017/richdata2" ref="B4:J178">
      <sortCondition ref="B3:B178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9F645-B484-4244-AA0B-94708F1E5D3C}">
  <dimension ref="B2:Z179"/>
  <sheetViews>
    <sheetView tabSelected="1" topLeftCell="J157" workbookViewId="0">
      <selection activeCell="M171" sqref="M171"/>
    </sheetView>
  </sheetViews>
  <sheetFormatPr defaultRowHeight="13.2"/>
  <cols>
    <col min="2" max="2" width="7.88671875" bestFit="1" customWidth="1"/>
    <col min="3" max="3" width="14.6640625" bestFit="1" customWidth="1"/>
    <col min="4" max="4" width="75.44140625" bestFit="1" customWidth="1"/>
    <col min="5" max="5" width="7.21875" bestFit="1" customWidth="1"/>
    <col min="6" max="6" width="10" bestFit="1" customWidth="1"/>
    <col min="7" max="7" width="7.33203125" bestFit="1" customWidth="1"/>
    <col min="8" max="8" width="45.44140625" bestFit="1" customWidth="1"/>
    <col min="9" max="9" width="19.44140625" bestFit="1" customWidth="1"/>
    <col min="10" max="10" width="24.44140625" bestFit="1" customWidth="1"/>
    <col min="11" max="12" width="21.6640625" bestFit="1" customWidth="1"/>
    <col min="13" max="13" width="136.5546875" bestFit="1" customWidth="1"/>
    <col min="19" max="19" width="12.5546875" customWidth="1"/>
  </cols>
  <sheetData>
    <row r="2" spans="2:26" ht="17.399999999999999">
      <c r="B2" s="40" t="s">
        <v>321</v>
      </c>
      <c r="C2" s="59" t="s">
        <v>322</v>
      </c>
      <c r="D2" s="59"/>
      <c r="E2" s="59"/>
      <c r="F2" s="59"/>
      <c r="G2" s="59"/>
      <c r="H2" s="59"/>
      <c r="I2" s="59"/>
      <c r="J2" s="59"/>
      <c r="K2" s="59"/>
      <c r="L2" s="59"/>
      <c r="M2" s="56"/>
      <c r="N2" s="44"/>
      <c r="O2" s="44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2:26" ht="17.399999999999999">
      <c r="B3" s="40" t="s">
        <v>305</v>
      </c>
      <c r="C3" s="40" t="s">
        <v>323</v>
      </c>
      <c r="D3" s="40" t="s">
        <v>324</v>
      </c>
      <c r="E3" s="40" t="s">
        <v>31</v>
      </c>
      <c r="F3" s="40" t="s">
        <v>26</v>
      </c>
      <c r="G3" s="40" t="s">
        <v>27</v>
      </c>
      <c r="H3" s="40" t="s">
        <v>32</v>
      </c>
      <c r="I3" s="40" t="s">
        <v>325</v>
      </c>
      <c r="J3" s="40" t="s">
        <v>326</v>
      </c>
      <c r="K3" s="40" t="s">
        <v>327</v>
      </c>
      <c r="L3" s="40" t="s">
        <v>312</v>
      </c>
      <c r="M3" s="46" t="str">
        <f>_xlfn.CONCAT("TRUNCATE ",C2,";")</f>
        <v>TRUNCATE TB_ITEM;</v>
      </c>
      <c r="N3" s="45"/>
      <c r="O3" s="45"/>
      <c r="P3" s="48"/>
      <c r="Q3" s="48"/>
      <c r="R3" s="49"/>
      <c r="S3" s="49"/>
      <c r="T3" s="49"/>
      <c r="U3" s="49"/>
      <c r="V3" s="49"/>
      <c r="W3" s="49"/>
      <c r="X3" s="49"/>
      <c r="Y3" s="49"/>
      <c r="Z3" s="49"/>
    </row>
    <row r="4" spans="2:26" ht="17.399999999999999">
      <c r="B4" s="40" t="s">
        <v>313</v>
      </c>
      <c r="C4" s="40" t="s">
        <v>328</v>
      </c>
      <c r="D4" s="40" t="s">
        <v>0</v>
      </c>
      <c r="E4" s="40" t="s">
        <v>329</v>
      </c>
      <c r="F4" s="40" t="s">
        <v>4</v>
      </c>
      <c r="G4" s="40" t="s">
        <v>5</v>
      </c>
      <c r="H4" s="40" t="s">
        <v>330</v>
      </c>
      <c r="I4" s="40" t="s">
        <v>331</v>
      </c>
      <c r="J4" s="40" t="s">
        <v>855</v>
      </c>
      <c r="K4" s="40" t="s">
        <v>319</v>
      </c>
      <c r="L4" s="40" t="s">
        <v>320</v>
      </c>
      <c r="M4" s="56" t="str">
        <f>_xlfn.CONCAT("INSERT INTO ",C2, "(", _xlfn.TEXTJOIN(",",TRUE,C3:L3),") VALUES")</f>
        <v>INSERT INTO TB_ITEM(ITEM_SEQ,ITEM_NM,PRICE,UNIT,RMRK,IMG,ITEM_TYPE_CODE,ITEM_DTL_TYPE_CODE,FST_REG_SEQ,LST_UPD_SEQ) VALUES</v>
      </c>
      <c r="N4" s="45"/>
      <c r="O4" s="45"/>
      <c r="P4" s="48"/>
      <c r="Q4" s="48"/>
      <c r="R4" s="49"/>
      <c r="S4" s="49"/>
      <c r="T4" s="49"/>
      <c r="U4" s="49"/>
      <c r="V4" s="49"/>
      <c r="W4" s="49"/>
      <c r="X4" s="49"/>
      <c r="Y4" s="49"/>
      <c r="Z4" s="49"/>
    </row>
    <row r="5" spans="2:26" ht="17.399999999999999">
      <c r="B5" s="50">
        <v>1</v>
      </c>
      <c r="C5" s="50">
        <v>1</v>
      </c>
      <c r="D5" s="50" t="s">
        <v>332</v>
      </c>
      <c r="E5" s="57">
        <v>2970</v>
      </c>
      <c r="F5" s="58">
        <v>1</v>
      </c>
      <c r="G5" s="57" t="s">
        <v>334</v>
      </c>
      <c r="H5" s="51" t="s">
        <v>333</v>
      </c>
      <c r="I5" s="43" t="s">
        <v>267</v>
      </c>
      <c r="J5" s="43" t="s">
        <v>268</v>
      </c>
      <c r="K5" s="47">
        <v>1</v>
      </c>
      <c r="L5" s="47">
        <v>1</v>
      </c>
      <c r="M5" s="56" t="str">
        <f>_xlfn.CONCAT(IF(B5=1,"",","),"(",_xlfn.TEXTJOIN(",",TRUE,C5:L5),")")</f>
        <v>(1,"캘리포니아센트 스필프루프 코로나도",2970,1,"","캘리포니아센트 스필프루프 코로나도.jpg","03","0301",1,1)</v>
      </c>
      <c r="N5" s="44"/>
      <c r="O5" s="19" t="s">
        <v>580</v>
      </c>
      <c r="P5" s="48" t="str">
        <f>_xlfn.CONCAT("""",O5,"""")</f>
        <v>"캘리포니아센트 스필프루프 코로나도.jpg"</v>
      </c>
      <c r="Q5" s="13" t="s">
        <v>6</v>
      </c>
      <c r="R5" s="48" t="str">
        <f>VLOOKUP(Q5,'상품 분류코드'!$B$33:$D$35,3,0)</f>
        <v>"03"</v>
      </c>
      <c r="S5" s="13" t="s">
        <v>7</v>
      </c>
      <c r="T5" s="48" t="str">
        <f>VLOOKUP(S5,'상품 분류코드'!$B$4:$D$31,3,0)</f>
        <v>"0301"</v>
      </c>
      <c r="U5" s="48"/>
      <c r="V5" s="48"/>
      <c r="W5" s="48"/>
      <c r="X5" s="48"/>
      <c r="Y5" s="48"/>
      <c r="Z5" s="48"/>
    </row>
    <row r="6" spans="2:26" ht="17.399999999999999">
      <c r="B6" s="50">
        <v>2</v>
      </c>
      <c r="C6" s="50">
        <v>2</v>
      </c>
      <c r="D6" s="50" t="s">
        <v>446</v>
      </c>
      <c r="E6" s="57">
        <v>6100</v>
      </c>
      <c r="F6" s="50">
        <v>1</v>
      </c>
      <c r="G6" s="57" t="s">
        <v>334</v>
      </c>
      <c r="H6" s="51" t="s">
        <v>718</v>
      </c>
      <c r="I6" s="50" t="s">
        <v>267</v>
      </c>
      <c r="J6" s="50" t="s">
        <v>268</v>
      </c>
      <c r="K6" s="47">
        <v>1</v>
      </c>
      <c r="L6" s="47">
        <v>1</v>
      </c>
      <c r="M6" s="56" t="str">
        <f t="shared" ref="M6:M69" si="0">_xlfn.CONCAT(IF(B6=1,"",","),"(",_xlfn.TEXTJOIN(",",TRUE,C6:L6),")")</f>
        <v>,(2,"젠틀 디퓨저 블랙로즈",6100,1,"","젠틀 디퓨저 블랙로즈.jpg","03","0301",1,1)</v>
      </c>
      <c r="O6" s="19" t="s">
        <v>581</v>
      </c>
      <c r="P6" s="48" t="str">
        <f t="shared" ref="P6:P69" si="1">_xlfn.CONCAT("""",O6,"""")</f>
        <v>"젠틀 디퓨저 블랙로즈.jpg"</v>
      </c>
      <c r="Q6" s="13" t="s">
        <v>6</v>
      </c>
      <c r="R6" s="48" t="str">
        <f>VLOOKUP(Q6,'상품 분류코드'!$B$33:$D$35,3,0)</f>
        <v>"03"</v>
      </c>
      <c r="S6" s="13" t="s">
        <v>7</v>
      </c>
      <c r="T6" s="48" t="str">
        <f>VLOOKUP(S6,'상품 분류코드'!$B$4:$D$31,3,0)</f>
        <v>"0301"</v>
      </c>
    </row>
    <row r="7" spans="2:26" ht="17.399999999999999">
      <c r="B7" s="50">
        <v>3</v>
      </c>
      <c r="C7" s="50">
        <v>3</v>
      </c>
      <c r="D7" s="50" t="s">
        <v>447</v>
      </c>
      <c r="E7" s="57">
        <v>8760</v>
      </c>
      <c r="F7" s="50">
        <v>1</v>
      </c>
      <c r="G7" s="57" t="s">
        <v>334</v>
      </c>
      <c r="H7" s="51" t="s">
        <v>719</v>
      </c>
      <c r="I7" s="50" t="s">
        <v>267</v>
      </c>
      <c r="J7" s="50" t="s">
        <v>268</v>
      </c>
      <c r="K7" s="47">
        <v>1</v>
      </c>
      <c r="L7" s="47">
        <v>1</v>
      </c>
      <c r="M7" s="56" t="str">
        <f t="shared" si="0"/>
        <v>,(3,"에멜시 차량용 방향제 170ml 헤블린 오션",8760,1,"","에멜시 차량용 방향제 170ml 헤블린 오션.jpg","03","0301",1,1)</v>
      </c>
      <c r="O7" s="19" t="s">
        <v>582</v>
      </c>
      <c r="P7" s="48" t="str">
        <f t="shared" si="1"/>
        <v>"에멜시 차량용 방향제 170ml 헤블린 오션.jpg"</v>
      </c>
      <c r="Q7" s="13" t="s">
        <v>6</v>
      </c>
      <c r="R7" s="48" t="str">
        <f>VLOOKUP(Q7,'상품 분류코드'!$B$33:$D$35,3,0)</f>
        <v>"03"</v>
      </c>
      <c r="S7" s="13" t="s">
        <v>7</v>
      </c>
      <c r="T7" s="48" t="str">
        <f>VLOOKUP(S7,'상품 분류코드'!$B$4:$D$31,3,0)</f>
        <v>"0301"</v>
      </c>
    </row>
    <row r="8" spans="2:26" ht="17.399999999999999">
      <c r="B8" s="50">
        <v>4</v>
      </c>
      <c r="C8" s="50">
        <v>4</v>
      </c>
      <c r="D8" s="50" t="s">
        <v>448</v>
      </c>
      <c r="E8" s="57">
        <v>8990</v>
      </c>
      <c r="F8" s="50">
        <v>1</v>
      </c>
      <c r="G8" s="57" t="s">
        <v>334</v>
      </c>
      <c r="H8" s="51" t="s">
        <v>720</v>
      </c>
      <c r="I8" s="50" t="s">
        <v>267</v>
      </c>
      <c r="J8" s="50" t="s">
        <v>268</v>
      </c>
      <c r="K8" s="47">
        <v>1</v>
      </c>
      <c r="L8" s="47">
        <v>1</v>
      </c>
      <c r="M8" s="56" t="str">
        <f t="shared" si="0"/>
        <v>,(4,"그라스 디퓨저 105ml 블랙베리&amp;체리",8990,1,"","그라스 디퓨저 105ml 블랙베리&amp;체리.jpg","03","0301",1,1)</v>
      </c>
      <c r="O8" s="19" t="s">
        <v>583</v>
      </c>
      <c r="P8" s="48" t="str">
        <f t="shared" si="1"/>
        <v>"그라스 디퓨저 105ml 블랙베리&amp;체리.jpg"</v>
      </c>
      <c r="Q8" s="13" t="s">
        <v>6</v>
      </c>
      <c r="R8" s="48" t="str">
        <f>VLOOKUP(Q8,'상품 분류코드'!$B$33:$D$35,3,0)</f>
        <v>"03"</v>
      </c>
      <c r="S8" s="13" t="s">
        <v>7</v>
      </c>
      <c r="T8" s="48" t="str">
        <f>VLOOKUP(S8,'상품 분류코드'!$B$4:$D$31,3,0)</f>
        <v>"0301"</v>
      </c>
    </row>
    <row r="9" spans="2:26" ht="17.399999999999999">
      <c r="B9" s="50">
        <v>5</v>
      </c>
      <c r="C9" s="50">
        <v>5</v>
      </c>
      <c r="D9" s="50" t="s">
        <v>449</v>
      </c>
      <c r="E9" s="57">
        <v>6150</v>
      </c>
      <c r="F9" s="50">
        <v>1</v>
      </c>
      <c r="G9" s="57" t="s">
        <v>334</v>
      </c>
      <c r="H9" s="51" t="s">
        <v>721</v>
      </c>
      <c r="I9" s="50" t="s">
        <v>267</v>
      </c>
      <c r="J9" s="50" t="s">
        <v>269</v>
      </c>
      <c r="K9" s="47">
        <v>1</v>
      </c>
      <c r="L9" s="47">
        <v>1</v>
      </c>
      <c r="M9" s="56" t="str">
        <f t="shared" si="0"/>
        <v>,(5,"다우니 프리미엄 세탁세제 액체형 실내건조",6150,1,"","다우니 프리미엄 세탁세제 액체형 실내건조.jpg","03","0302",1,1)</v>
      </c>
      <c r="O9" s="19" t="s">
        <v>584</v>
      </c>
      <c r="P9" s="48" t="str">
        <f t="shared" si="1"/>
        <v>"다우니 프리미엄 세탁세제 액체형 실내건조.jpg"</v>
      </c>
      <c r="Q9" s="26" t="s">
        <v>89</v>
      </c>
      <c r="R9" s="48" t="str">
        <f>VLOOKUP(Q9,'상품 분류코드'!$B$33:$D$35,3,0)</f>
        <v>"03"</v>
      </c>
      <c r="S9" s="32" t="s">
        <v>237</v>
      </c>
      <c r="T9" s="48" t="str">
        <f>VLOOKUP(S9,'상품 분류코드'!$B$4:$D$31,3,0)</f>
        <v>"0302"</v>
      </c>
    </row>
    <row r="10" spans="2:26" ht="17.399999999999999">
      <c r="B10" s="50">
        <v>6</v>
      </c>
      <c r="C10" s="50">
        <v>6</v>
      </c>
      <c r="D10" s="50" t="s">
        <v>450</v>
      </c>
      <c r="E10" s="57">
        <v>25280</v>
      </c>
      <c r="F10" s="50">
        <v>1</v>
      </c>
      <c r="G10" s="57" t="s">
        <v>334</v>
      </c>
      <c r="H10" s="51" t="s">
        <v>722</v>
      </c>
      <c r="I10" s="50" t="s">
        <v>267</v>
      </c>
      <c r="J10" s="50" t="s">
        <v>270</v>
      </c>
      <c r="K10" s="47">
        <v>1</v>
      </c>
      <c r="L10" s="47">
        <v>1</v>
      </c>
      <c r="M10" s="56" t="str">
        <f t="shared" si="0"/>
        <v>,(6,"비트 마사지 건 HMS-12",25280,1,"","비트 마사지 건 HMS-12.jpg","03","0303",1,1)</v>
      </c>
      <c r="O10" s="19" t="s">
        <v>585</v>
      </c>
      <c r="P10" s="48" t="str">
        <f t="shared" si="1"/>
        <v>"비트 마사지 건 HMS-12.jpg"</v>
      </c>
      <c r="Q10" s="13" t="s">
        <v>6</v>
      </c>
      <c r="R10" s="48" t="str">
        <f>VLOOKUP(Q10,'상품 분류코드'!$B$33:$D$35,3,0)</f>
        <v>"03"</v>
      </c>
      <c r="S10" s="13" t="s">
        <v>33</v>
      </c>
      <c r="T10" s="48" t="str">
        <f>VLOOKUP(S10,'상품 분류코드'!$B$4:$D$31,3,0)</f>
        <v>"0303"</v>
      </c>
    </row>
    <row r="11" spans="2:26" ht="17.399999999999999">
      <c r="B11" s="50">
        <v>7</v>
      </c>
      <c r="C11" s="50">
        <v>7</v>
      </c>
      <c r="D11" s="50" t="s">
        <v>451</v>
      </c>
      <c r="E11" s="57">
        <v>13280</v>
      </c>
      <c r="F11" s="50">
        <v>1</v>
      </c>
      <c r="G11" s="57" t="s">
        <v>334</v>
      </c>
      <c r="H11" s="51" t="s">
        <v>723</v>
      </c>
      <c r="I11" s="50" t="s">
        <v>267</v>
      </c>
      <c r="J11" s="50" t="s">
        <v>271</v>
      </c>
      <c r="K11" s="47">
        <v>1</v>
      </c>
      <c r="L11" s="47">
        <v>1</v>
      </c>
      <c r="M11" s="56" t="str">
        <f t="shared" si="0"/>
        <v>,(7,"질레트 프로쉴드 옐로우 면도날 4입",13280,1,"","질레트 프로쉴드 옐로우 면도날 4입.jpg","03","0304",1,1)</v>
      </c>
      <c r="O11" s="22" t="s">
        <v>586</v>
      </c>
      <c r="P11" s="48" t="str">
        <f t="shared" si="1"/>
        <v>"질레트 프로쉴드 옐로우 면도날 4입.jpg"</v>
      </c>
      <c r="Q11" s="13" t="s">
        <v>6</v>
      </c>
      <c r="R11" s="48" t="str">
        <f>VLOOKUP(Q11,'상품 분류코드'!$B$33:$D$35,3,0)</f>
        <v>"03"</v>
      </c>
      <c r="S11" s="32" t="s">
        <v>232</v>
      </c>
      <c r="T11" s="48" t="str">
        <f>VLOOKUP(S11,'상품 분류코드'!$B$4:$D$31,3,0)</f>
        <v>"0304"</v>
      </c>
    </row>
    <row r="12" spans="2:26" ht="17.399999999999999">
      <c r="B12" s="50">
        <v>8</v>
      </c>
      <c r="C12" s="50">
        <v>8</v>
      </c>
      <c r="D12" s="50" t="s">
        <v>452</v>
      </c>
      <c r="E12" s="57">
        <v>1250</v>
      </c>
      <c r="F12" s="50">
        <v>12</v>
      </c>
      <c r="G12" s="57" t="s">
        <v>334</v>
      </c>
      <c r="H12" s="51" t="s">
        <v>724</v>
      </c>
      <c r="I12" s="50" t="s">
        <v>248</v>
      </c>
      <c r="J12" s="50" t="s">
        <v>249</v>
      </c>
      <c r="K12" s="47">
        <v>1</v>
      </c>
      <c r="L12" s="47">
        <v>1</v>
      </c>
      <c r="M12" s="56" t="str">
        <f t="shared" si="0"/>
        <v>,(8,"프링글스 양파맛",1250,12,"","프링글스 양파맛.jpg","01","0101",1,1)</v>
      </c>
      <c r="O12" s="21" t="s">
        <v>587</v>
      </c>
      <c r="P12" s="48" t="str">
        <f t="shared" si="1"/>
        <v>"프링글스 양파맛.jpg"</v>
      </c>
      <c r="Q12" s="13" t="s">
        <v>11</v>
      </c>
      <c r="R12" s="48" t="str">
        <f>VLOOKUP(Q12,'상품 분류코드'!$B$33:$D$35,3,0)</f>
        <v>"01"</v>
      </c>
      <c r="S12" s="13" t="s">
        <v>12</v>
      </c>
      <c r="T12" s="48" t="str">
        <f>VLOOKUP(S12,'상품 분류코드'!$B$4:$D$31,3,0)</f>
        <v>"0101"</v>
      </c>
    </row>
    <row r="13" spans="2:26" ht="17.399999999999999">
      <c r="B13" s="50">
        <v>9</v>
      </c>
      <c r="C13" s="50">
        <v>9</v>
      </c>
      <c r="D13" s="50" t="s">
        <v>453</v>
      </c>
      <c r="E13" s="57">
        <v>1400</v>
      </c>
      <c r="F13" s="50">
        <v>12</v>
      </c>
      <c r="G13" s="57" t="s">
        <v>334</v>
      </c>
      <c r="H13" s="51" t="s">
        <v>725</v>
      </c>
      <c r="I13" s="50" t="s">
        <v>248</v>
      </c>
      <c r="J13" s="50" t="s">
        <v>249</v>
      </c>
      <c r="K13" s="47">
        <v>1</v>
      </c>
      <c r="L13" s="47">
        <v>1</v>
      </c>
      <c r="M13" s="56" t="str">
        <f t="shared" si="0"/>
        <v>,(9,"프링글스 리치치즈갈릭",1400,12,"","프링글스 리치치즈갈릭.jpg","01","0101",1,1)</v>
      </c>
      <c r="O13" s="19" t="s">
        <v>588</v>
      </c>
      <c r="P13" s="48" t="str">
        <f t="shared" si="1"/>
        <v>"프링글스 리치치즈갈릭.jpg"</v>
      </c>
      <c r="Q13" s="13" t="s">
        <v>11</v>
      </c>
      <c r="R13" s="48" t="str">
        <f>VLOOKUP(Q13,'상품 분류코드'!$B$33:$D$35,3,0)</f>
        <v>"01"</v>
      </c>
      <c r="S13" s="13" t="s">
        <v>12</v>
      </c>
      <c r="T13" s="48" t="str">
        <f>VLOOKUP(S13,'상품 분류코드'!$B$4:$D$31,3,0)</f>
        <v>"0101"</v>
      </c>
    </row>
    <row r="14" spans="2:26" ht="17.399999999999999">
      <c r="B14" s="50">
        <v>10</v>
      </c>
      <c r="C14" s="50">
        <v>10</v>
      </c>
      <c r="D14" s="50" t="s">
        <v>454</v>
      </c>
      <c r="E14" s="57">
        <v>1250</v>
      </c>
      <c r="F14" s="50">
        <v>12</v>
      </c>
      <c r="G14" s="57" t="s">
        <v>334</v>
      </c>
      <c r="H14" s="51" t="s">
        <v>726</v>
      </c>
      <c r="I14" s="50" t="s">
        <v>248</v>
      </c>
      <c r="J14" s="50" t="s">
        <v>249</v>
      </c>
      <c r="K14" s="47">
        <v>1</v>
      </c>
      <c r="L14" s="47">
        <v>1</v>
      </c>
      <c r="M14" s="56" t="str">
        <f t="shared" si="0"/>
        <v>,(10,"프링글스 버터카라멜",1250,12,"","프링글스 버터카라멜.jpg","01","0101",1,1)</v>
      </c>
      <c r="O14" s="19" t="s">
        <v>589</v>
      </c>
      <c r="P14" s="48" t="str">
        <f t="shared" si="1"/>
        <v>"프링글스 버터카라멜.jpg"</v>
      </c>
      <c r="Q14" s="13" t="s">
        <v>11</v>
      </c>
      <c r="R14" s="48" t="str">
        <f>VLOOKUP(Q14,'상품 분류코드'!$B$33:$D$35,3,0)</f>
        <v>"01"</v>
      </c>
      <c r="S14" s="13" t="s">
        <v>12</v>
      </c>
      <c r="T14" s="48" t="str">
        <f>VLOOKUP(S14,'상품 분류코드'!$B$4:$D$31,3,0)</f>
        <v>"0101"</v>
      </c>
    </row>
    <row r="15" spans="2:26" ht="17.399999999999999">
      <c r="B15" s="50">
        <v>11</v>
      </c>
      <c r="C15" s="50">
        <v>11</v>
      </c>
      <c r="D15" s="50" t="s">
        <v>455</v>
      </c>
      <c r="E15" s="57">
        <v>1250</v>
      </c>
      <c r="F15" s="50">
        <v>12</v>
      </c>
      <c r="G15" s="57" t="s">
        <v>334</v>
      </c>
      <c r="H15" s="51" t="s">
        <v>727</v>
      </c>
      <c r="I15" s="50" t="s">
        <v>248</v>
      </c>
      <c r="J15" s="50" t="s">
        <v>249</v>
      </c>
      <c r="K15" s="47">
        <v>1</v>
      </c>
      <c r="L15" s="47">
        <v>1</v>
      </c>
      <c r="M15" s="56" t="str">
        <f t="shared" si="0"/>
        <v>,(11,"프링글스 핫앤스파이시",1250,12,"","프링글스 핫앤스파이시.jpg","01","0101",1,1)</v>
      </c>
      <c r="O15" s="19" t="s">
        <v>590</v>
      </c>
      <c r="P15" s="48" t="str">
        <f t="shared" si="1"/>
        <v>"프링글스 핫앤스파이시.jpg"</v>
      </c>
      <c r="Q15" s="13" t="s">
        <v>11</v>
      </c>
      <c r="R15" s="48" t="str">
        <f>VLOOKUP(Q15,'상품 분류코드'!$B$33:$D$35,3,0)</f>
        <v>"01"</v>
      </c>
      <c r="S15" s="13" t="s">
        <v>12</v>
      </c>
      <c r="T15" s="48" t="str">
        <f>VLOOKUP(S15,'상품 분류코드'!$B$4:$D$31,3,0)</f>
        <v>"0101"</v>
      </c>
    </row>
    <row r="16" spans="2:26" ht="17.399999999999999">
      <c r="B16" s="50">
        <v>12</v>
      </c>
      <c r="C16" s="50">
        <v>12</v>
      </c>
      <c r="D16" s="50" t="s">
        <v>456</v>
      </c>
      <c r="E16" s="57">
        <v>450</v>
      </c>
      <c r="F16" s="50">
        <v>15</v>
      </c>
      <c r="G16" s="57" t="s">
        <v>334</v>
      </c>
      <c r="H16" s="51" t="s">
        <v>728</v>
      </c>
      <c r="I16" s="50" t="s">
        <v>248</v>
      </c>
      <c r="J16" s="50" t="s">
        <v>249</v>
      </c>
      <c r="K16" s="47">
        <v>1</v>
      </c>
      <c r="L16" s="47">
        <v>1</v>
      </c>
      <c r="M16" s="56" t="str">
        <f t="shared" si="0"/>
        <v>,(12,"키커바",450,15,"","키커바.jpg","01","0101",1,1)</v>
      </c>
      <c r="O16" s="19" t="s">
        <v>591</v>
      </c>
      <c r="P16" s="48" t="str">
        <f t="shared" si="1"/>
        <v>"키커바.jpg"</v>
      </c>
      <c r="Q16" s="13" t="s">
        <v>11</v>
      </c>
      <c r="R16" s="48" t="str">
        <f>VLOOKUP(Q16,'상품 분류코드'!$B$33:$D$35,3,0)</f>
        <v>"01"</v>
      </c>
      <c r="S16" s="13" t="s">
        <v>12</v>
      </c>
      <c r="T16" s="48" t="str">
        <f>VLOOKUP(S16,'상품 분류코드'!$B$4:$D$31,3,0)</f>
        <v>"0101"</v>
      </c>
    </row>
    <row r="17" spans="2:20" ht="17.399999999999999">
      <c r="B17" s="50">
        <v>13</v>
      </c>
      <c r="C17" s="50">
        <v>13</v>
      </c>
      <c r="D17" s="50" t="s">
        <v>457</v>
      </c>
      <c r="E17" s="57">
        <v>7130</v>
      </c>
      <c r="F17" s="50">
        <v>1</v>
      </c>
      <c r="G17" s="57" t="s">
        <v>334</v>
      </c>
      <c r="H17" s="51" t="s">
        <v>729</v>
      </c>
      <c r="I17" s="50" t="s">
        <v>248</v>
      </c>
      <c r="J17" s="50" t="s">
        <v>249</v>
      </c>
      <c r="K17" s="47">
        <v>1</v>
      </c>
      <c r="L17" s="47">
        <v>1</v>
      </c>
      <c r="M17" s="56" t="str">
        <f t="shared" si="0"/>
        <v>,(13,"코주부 CLASSIC 육포 Mild 130g",7130,1,"","코주부 CLASSIC 육포 Mild 130g.jpg","01","0101",1,1)</v>
      </c>
      <c r="O17" s="19" t="s">
        <v>592</v>
      </c>
      <c r="P17" s="48" t="str">
        <f t="shared" si="1"/>
        <v>"코주부 CLASSIC 육포 Mild 130g.jpg"</v>
      </c>
      <c r="Q17" s="13" t="s">
        <v>11</v>
      </c>
      <c r="R17" s="48" t="str">
        <f>VLOOKUP(Q17,'상품 분류코드'!$B$33:$D$35,3,0)</f>
        <v>"01"</v>
      </c>
      <c r="S17" s="13" t="s">
        <v>12</v>
      </c>
      <c r="T17" s="48" t="str">
        <f>VLOOKUP(S17,'상품 분류코드'!$B$4:$D$31,3,0)</f>
        <v>"0101"</v>
      </c>
    </row>
    <row r="18" spans="2:20" ht="17.399999999999999">
      <c r="B18" s="50">
        <v>14</v>
      </c>
      <c r="C18" s="50">
        <v>14</v>
      </c>
      <c r="D18" s="50" t="s">
        <v>458</v>
      </c>
      <c r="E18" s="57">
        <v>6040</v>
      </c>
      <c r="F18" s="50">
        <v>1</v>
      </c>
      <c r="G18" s="57" t="s">
        <v>334</v>
      </c>
      <c r="H18" s="51" t="s">
        <v>730</v>
      </c>
      <c r="I18" s="50" t="s">
        <v>248</v>
      </c>
      <c r="J18" s="50" t="s">
        <v>249</v>
      </c>
      <c r="K18" s="47">
        <v>1</v>
      </c>
      <c r="L18" s="47">
        <v>1</v>
      </c>
      <c r="M18" s="56" t="str">
        <f t="shared" si="0"/>
        <v>,(14,"코주부 CLASSIC 육포 HOT &amp; SPICY 130g",6040,1,"","코주부 CLASSIC 육포 HOT &amp; SPICY 130g.jpg","01","0101",1,1)</v>
      </c>
      <c r="O18" s="19" t="s">
        <v>593</v>
      </c>
      <c r="P18" s="48" t="str">
        <f t="shared" si="1"/>
        <v>"코주부 CLASSIC 육포 HOT &amp; SPICY 130g.jpg"</v>
      </c>
      <c r="Q18" s="13" t="s">
        <v>11</v>
      </c>
      <c r="R18" s="48" t="str">
        <f>VLOOKUP(Q18,'상품 분류코드'!$B$33:$D$35,3,0)</f>
        <v>"01"</v>
      </c>
      <c r="S18" s="13" t="s">
        <v>12</v>
      </c>
      <c r="T18" s="48" t="str">
        <f>VLOOKUP(S18,'상품 분류코드'!$B$4:$D$31,3,0)</f>
        <v>"0101"</v>
      </c>
    </row>
    <row r="19" spans="2:20" ht="17.399999999999999">
      <c r="B19" s="50">
        <v>15</v>
      </c>
      <c r="C19" s="50">
        <v>15</v>
      </c>
      <c r="D19" s="50" t="s">
        <v>459</v>
      </c>
      <c r="E19" s="57">
        <v>680</v>
      </c>
      <c r="F19" s="50">
        <v>20</v>
      </c>
      <c r="G19" s="57" t="s">
        <v>334</v>
      </c>
      <c r="H19" s="51" t="s">
        <v>731</v>
      </c>
      <c r="I19" s="50" t="s">
        <v>248</v>
      </c>
      <c r="J19" s="50" t="s">
        <v>250</v>
      </c>
      <c r="K19" s="47">
        <v>1</v>
      </c>
      <c r="L19" s="47">
        <v>1</v>
      </c>
      <c r="M19" s="56" t="str">
        <f t="shared" si="0"/>
        <v>,(15,"펩시제로슈거라임 500ml",680,20,"","펩시제로슈거라임 500ml.jpg","01","0102",1,1)</v>
      </c>
      <c r="O19" s="19" t="s">
        <v>594</v>
      </c>
      <c r="P19" s="48" t="str">
        <f t="shared" si="1"/>
        <v>"펩시제로슈거라임 500ml.jpg"</v>
      </c>
      <c r="Q19" s="13" t="s">
        <v>11</v>
      </c>
      <c r="R19" s="48" t="str">
        <f>VLOOKUP(Q19,'상품 분류코드'!$B$33:$D$35,3,0)</f>
        <v>"01"</v>
      </c>
      <c r="S19" s="13" t="s">
        <v>13</v>
      </c>
      <c r="T19" s="48" t="str">
        <f>VLOOKUP(S19,'상품 분류코드'!$B$4:$D$31,3,0)</f>
        <v>"0102"</v>
      </c>
    </row>
    <row r="20" spans="2:20" ht="17.399999999999999">
      <c r="B20" s="50">
        <v>16</v>
      </c>
      <c r="C20" s="50">
        <v>16</v>
      </c>
      <c r="D20" s="50" t="s">
        <v>460</v>
      </c>
      <c r="E20" s="57">
        <v>740</v>
      </c>
      <c r="F20" s="50">
        <v>24</v>
      </c>
      <c r="G20" s="57" t="s">
        <v>334</v>
      </c>
      <c r="H20" s="51" t="s">
        <v>732</v>
      </c>
      <c r="I20" s="50" t="s">
        <v>248</v>
      </c>
      <c r="J20" s="50" t="s">
        <v>250</v>
      </c>
      <c r="K20" s="47">
        <v>1</v>
      </c>
      <c r="L20" s="47">
        <v>1</v>
      </c>
      <c r="M20" s="56" t="str">
        <f t="shared" si="0"/>
        <v>,(16,"핫식스더킹파워 355ml",740,24,"","핫식스더킹파워 355ml.jpg","01","0102",1,1)</v>
      </c>
      <c r="O20" s="19" t="s">
        <v>595</v>
      </c>
      <c r="P20" s="48" t="str">
        <f t="shared" si="1"/>
        <v>"핫식스더킹파워 355ml.jpg"</v>
      </c>
      <c r="Q20" s="13" t="s">
        <v>11</v>
      </c>
      <c r="R20" s="48" t="str">
        <f>VLOOKUP(Q20,'상품 분류코드'!$B$33:$D$35,3,0)</f>
        <v>"01"</v>
      </c>
      <c r="S20" s="13" t="s">
        <v>13</v>
      </c>
      <c r="T20" s="48" t="str">
        <f>VLOOKUP(S20,'상품 분류코드'!$B$4:$D$31,3,0)</f>
        <v>"0102"</v>
      </c>
    </row>
    <row r="21" spans="2:20" ht="17.399999999999999">
      <c r="B21" s="50">
        <v>17</v>
      </c>
      <c r="C21" s="50">
        <v>17</v>
      </c>
      <c r="D21" s="50" t="s">
        <v>461</v>
      </c>
      <c r="E21" s="57">
        <v>1420</v>
      </c>
      <c r="F21" s="50">
        <v>24</v>
      </c>
      <c r="G21" s="57" t="s">
        <v>334</v>
      </c>
      <c r="H21" s="51" t="s">
        <v>733</v>
      </c>
      <c r="I21" s="50" t="s">
        <v>248</v>
      </c>
      <c r="J21" s="50" t="s">
        <v>250</v>
      </c>
      <c r="K21" s="47">
        <v>1</v>
      </c>
      <c r="L21" s="47">
        <v>1</v>
      </c>
      <c r="M21" s="56" t="str">
        <f t="shared" si="0"/>
        <v>,(17,"몬스터에너지 울트라 355ml",1420,24,"","몬스터에너지 울트라 355ml.jpg","01","0102",1,1)</v>
      </c>
      <c r="O21" s="19" t="s">
        <v>596</v>
      </c>
      <c r="P21" s="48" t="str">
        <f t="shared" si="1"/>
        <v>"몬스터에너지 울트라 355ml.jpg"</v>
      </c>
      <c r="Q21" s="13" t="s">
        <v>11</v>
      </c>
      <c r="R21" s="48" t="str">
        <f>VLOOKUP(Q21,'상품 분류코드'!$B$33:$D$35,3,0)</f>
        <v>"01"</v>
      </c>
      <c r="S21" s="13" t="s">
        <v>13</v>
      </c>
      <c r="T21" s="48" t="str">
        <f>VLOOKUP(S21,'상품 분류코드'!$B$4:$D$31,3,0)</f>
        <v>"0102"</v>
      </c>
    </row>
    <row r="22" spans="2:20" ht="17.399999999999999">
      <c r="B22" s="50">
        <v>18</v>
      </c>
      <c r="C22" s="50">
        <v>18</v>
      </c>
      <c r="D22" s="50" t="s">
        <v>462</v>
      </c>
      <c r="E22" s="57">
        <v>620</v>
      </c>
      <c r="F22" s="50">
        <v>36</v>
      </c>
      <c r="G22" s="57" t="s">
        <v>334</v>
      </c>
      <c r="H22" s="51" t="s">
        <v>734</v>
      </c>
      <c r="I22" s="50" t="s">
        <v>248</v>
      </c>
      <c r="J22" s="50" t="s">
        <v>251</v>
      </c>
      <c r="K22" s="47">
        <v>1</v>
      </c>
      <c r="L22" s="47">
        <v>1</v>
      </c>
      <c r="M22" s="56" t="str">
        <f t="shared" si="0"/>
        <v>,(18,"햇반 130g",620,36,"","햇반 130g.jpg","01","0103",1,1)</v>
      </c>
      <c r="O22" s="19" t="s">
        <v>597</v>
      </c>
      <c r="P22" s="48" t="str">
        <f t="shared" si="1"/>
        <v>"햇반 130g.jpg"</v>
      </c>
      <c r="Q22" s="13" t="s">
        <v>11</v>
      </c>
      <c r="R22" s="48" t="str">
        <f>VLOOKUP(Q22,'상품 분류코드'!$B$33:$D$35,3,0)</f>
        <v>"01"</v>
      </c>
      <c r="S22" s="13" t="s">
        <v>14</v>
      </c>
      <c r="T22" s="48" t="str">
        <f>VLOOKUP(S22,'상품 분류코드'!$B$4:$D$31,3,0)</f>
        <v>"0103"</v>
      </c>
    </row>
    <row r="23" spans="2:20" ht="17.399999999999999">
      <c r="B23" s="50">
        <v>19</v>
      </c>
      <c r="C23" s="50">
        <v>19</v>
      </c>
      <c r="D23" s="50" t="s">
        <v>463</v>
      </c>
      <c r="E23" s="57">
        <v>1100</v>
      </c>
      <c r="F23" s="50">
        <v>24</v>
      </c>
      <c r="G23" s="57" t="s">
        <v>334</v>
      </c>
      <c r="H23" s="51" t="s">
        <v>735</v>
      </c>
      <c r="I23" s="50" t="s">
        <v>248</v>
      </c>
      <c r="J23" s="50" t="s">
        <v>251</v>
      </c>
      <c r="K23" s="47">
        <v>1</v>
      </c>
      <c r="L23" s="47">
        <v>1</v>
      </c>
      <c r="M23" s="56" t="str">
        <f t="shared" si="0"/>
        <v>,(19,"햇반 210g",1100,24,"","햇반 210g.jpg","01","0103",1,1)</v>
      </c>
      <c r="O23" s="19" t="s">
        <v>598</v>
      </c>
      <c r="P23" s="48" t="str">
        <f t="shared" si="1"/>
        <v>"햇반 210g.jpg"</v>
      </c>
      <c r="Q23" s="33" t="s">
        <v>11</v>
      </c>
      <c r="R23" s="48" t="str">
        <f>VLOOKUP(Q23,'상품 분류코드'!$B$33:$D$35,3,0)</f>
        <v>"01"</v>
      </c>
      <c r="S23" s="33" t="s">
        <v>14</v>
      </c>
      <c r="T23" s="48" t="str">
        <f>VLOOKUP(S23,'상품 분류코드'!$B$4:$D$31,3,0)</f>
        <v>"0103"</v>
      </c>
    </row>
    <row r="24" spans="2:20" ht="17.399999999999999">
      <c r="B24" s="50">
        <v>20</v>
      </c>
      <c r="C24" s="50">
        <v>20</v>
      </c>
      <c r="D24" s="50" t="s">
        <v>464</v>
      </c>
      <c r="E24" s="57">
        <v>850</v>
      </c>
      <c r="F24" s="50">
        <v>24</v>
      </c>
      <c r="G24" s="57" t="s">
        <v>334</v>
      </c>
      <c r="H24" s="51" t="s">
        <v>736</v>
      </c>
      <c r="I24" s="50" t="s">
        <v>248</v>
      </c>
      <c r="J24" s="50" t="s">
        <v>251</v>
      </c>
      <c r="K24" s="47">
        <v>1</v>
      </c>
      <c r="L24" s="47">
        <v>1</v>
      </c>
      <c r="M24" s="56" t="str">
        <f t="shared" si="0"/>
        <v>,(20,"맛있는 오뚜기밥 210g",850,24,"","맛있는 오뚜기밥 210g.jpg","01","0103",1,1)</v>
      </c>
      <c r="O24" s="19" t="s">
        <v>599</v>
      </c>
      <c r="P24" s="48" t="str">
        <f t="shared" si="1"/>
        <v>"맛있는 오뚜기밥 210g.jpg"</v>
      </c>
      <c r="Q24" s="13" t="s">
        <v>11</v>
      </c>
      <c r="R24" s="48" t="str">
        <f>VLOOKUP(Q24,'상품 분류코드'!$B$33:$D$35,3,0)</f>
        <v>"01"</v>
      </c>
      <c r="S24" s="13" t="s">
        <v>14</v>
      </c>
      <c r="T24" s="48" t="str">
        <f>VLOOKUP(S24,'상품 분류코드'!$B$4:$D$31,3,0)</f>
        <v>"0103"</v>
      </c>
    </row>
    <row r="25" spans="2:20" ht="17.399999999999999">
      <c r="B25" s="50">
        <v>21</v>
      </c>
      <c r="C25" s="50">
        <v>21</v>
      </c>
      <c r="D25" s="50" t="s">
        <v>465</v>
      </c>
      <c r="E25" s="57">
        <v>800</v>
      </c>
      <c r="F25" s="50">
        <v>24</v>
      </c>
      <c r="G25" s="57" t="s">
        <v>334</v>
      </c>
      <c r="H25" s="51" t="s">
        <v>737</v>
      </c>
      <c r="I25" s="50" t="s">
        <v>248</v>
      </c>
      <c r="J25" s="50" t="s">
        <v>251</v>
      </c>
      <c r="K25" s="47">
        <v>1</v>
      </c>
      <c r="L25" s="47">
        <v>1</v>
      </c>
      <c r="M25" s="56" t="str">
        <f t="shared" si="0"/>
        <v>,(21,"햇반흑미밥 130g",800,24,"","햇반흑미밥 130g.jpg","01","0103",1,1)</v>
      </c>
      <c r="O25" s="19" t="s">
        <v>600</v>
      </c>
      <c r="P25" s="48" t="str">
        <f t="shared" si="1"/>
        <v>"햇반흑미밥 130g.jpg"</v>
      </c>
      <c r="Q25" s="13" t="s">
        <v>11</v>
      </c>
      <c r="R25" s="48" t="str">
        <f>VLOOKUP(Q25,'상품 분류코드'!$B$33:$D$35,3,0)</f>
        <v>"01"</v>
      </c>
      <c r="S25" s="13" t="s">
        <v>14</v>
      </c>
      <c r="T25" s="48" t="str">
        <f>VLOOKUP(S25,'상품 분류코드'!$B$4:$D$31,3,0)</f>
        <v>"0103"</v>
      </c>
    </row>
    <row r="26" spans="2:20" ht="17.399999999999999">
      <c r="B26" s="50">
        <v>22</v>
      </c>
      <c r="C26" s="50">
        <v>22</v>
      </c>
      <c r="D26" s="50" t="s">
        <v>466</v>
      </c>
      <c r="E26" s="57">
        <v>1010</v>
      </c>
      <c r="F26" s="50">
        <v>24</v>
      </c>
      <c r="G26" s="57" t="s">
        <v>334</v>
      </c>
      <c r="H26" s="51" t="s">
        <v>738</v>
      </c>
      <c r="I26" s="50" t="s">
        <v>248</v>
      </c>
      <c r="J26" s="50" t="s">
        <v>251</v>
      </c>
      <c r="K26" s="47">
        <v>1</v>
      </c>
      <c r="L26" s="47">
        <v>1</v>
      </c>
      <c r="M26" s="56" t="str">
        <f t="shared" si="0"/>
        <v>,(22,"햇반 매일잡곡밥 210g",1010,24,"","햇반 매일잡곡밥 210g.jpg","01","0103",1,1)</v>
      </c>
      <c r="O26" s="19" t="s">
        <v>601</v>
      </c>
      <c r="P26" s="48" t="str">
        <f t="shared" si="1"/>
        <v>"햇반 매일잡곡밥 210g.jpg"</v>
      </c>
      <c r="Q26" s="13" t="s">
        <v>11</v>
      </c>
      <c r="R26" s="48" t="str">
        <f>VLOOKUP(Q26,'상품 분류코드'!$B$33:$D$35,3,0)</f>
        <v>"01"</v>
      </c>
      <c r="S26" s="13" t="s">
        <v>14</v>
      </c>
      <c r="T26" s="48" t="str">
        <f>VLOOKUP(S26,'상품 분류코드'!$B$4:$D$31,3,0)</f>
        <v>"0103"</v>
      </c>
    </row>
    <row r="27" spans="2:20" ht="17.399999999999999">
      <c r="B27" s="50">
        <v>23</v>
      </c>
      <c r="C27" s="50">
        <v>23</v>
      </c>
      <c r="D27" s="50" t="s">
        <v>467</v>
      </c>
      <c r="E27" s="57">
        <v>530</v>
      </c>
      <c r="F27" s="50">
        <v>15</v>
      </c>
      <c r="G27" s="57" t="s">
        <v>334</v>
      </c>
      <c r="H27" s="51" t="s">
        <v>739</v>
      </c>
      <c r="I27" s="50" t="s">
        <v>248</v>
      </c>
      <c r="J27" s="50" t="s">
        <v>252</v>
      </c>
      <c r="K27" s="47">
        <v>1</v>
      </c>
      <c r="L27" s="47">
        <v>1</v>
      </c>
      <c r="M27" s="56" t="str">
        <f t="shared" si="0"/>
        <v>,(23,"오뚜기 컵누들 매콤한 맛",530,15,"","오뚜기 컵누들 매콤한 맛.jpg","01","0104",1,1)</v>
      </c>
      <c r="O27" s="19" t="s">
        <v>602</v>
      </c>
      <c r="P27" s="48" t="str">
        <f t="shared" si="1"/>
        <v>"오뚜기 컵누들 매콤한 맛.jpg"</v>
      </c>
      <c r="Q27" s="13" t="s">
        <v>11</v>
      </c>
      <c r="R27" s="48" t="str">
        <f>VLOOKUP(Q27,'상품 분류코드'!$B$33:$D$35,3,0)</f>
        <v>"01"</v>
      </c>
      <c r="S27" s="13" t="s">
        <v>224</v>
      </c>
      <c r="T27" s="48" t="str">
        <f>VLOOKUP(S27,'상품 분류코드'!$B$4:$D$31,3,0)</f>
        <v>"0104"</v>
      </c>
    </row>
    <row r="28" spans="2:20" ht="17.399999999999999">
      <c r="B28" s="50">
        <v>24</v>
      </c>
      <c r="C28" s="50">
        <v>24</v>
      </c>
      <c r="D28" s="50" t="s">
        <v>468</v>
      </c>
      <c r="E28" s="57">
        <v>2550</v>
      </c>
      <c r="F28" s="50">
        <v>1</v>
      </c>
      <c r="G28" s="57" t="s">
        <v>334</v>
      </c>
      <c r="H28" s="51" t="s">
        <v>740</v>
      </c>
      <c r="I28" s="50" t="s">
        <v>248</v>
      </c>
      <c r="J28" s="50" t="s">
        <v>253</v>
      </c>
      <c r="K28" s="47">
        <v>1</v>
      </c>
      <c r="L28" s="47">
        <v>1</v>
      </c>
      <c r="M28" s="56" t="str">
        <f t="shared" si="0"/>
        <v>,(24,"쟈뎅 아워티 콤푸차 레몬 10p",2550,1,"","쟈뎅 아워티 콤푸차 레몬 10p.jpg","01","0105",1,1)</v>
      </c>
      <c r="O28" s="19" t="s">
        <v>603</v>
      </c>
      <c r="P28" s="48" t="str">
        <f t="shared" si="1"/>
        <v>"쟈뎅 아워티 콤푸차 레몬 10p.jpg"</v>
      </c>
      <c r="Q28" s="13" t="s">
        <v>11</v>
      </c>
      <c r="R28" s="48" t="str">
        <f>VLOOKUP(Q28,'상품 분류코드'!$B$33:$D$35,3,0)</f>
        <v>"01"</v>
      </c>
      <c r="S28" s="13" t="s">
        <v>15</v>
      </c>
      <c r="T28" s="48" t="str">
        <f>VLOOKUP(S28,'상품 분류코드'!$B$4:$D$31,3,0)</f>
        <v>"0105"</v>
      </c>
    </row>
    <row r="29" spans="2:20" ht="17.399999999999999">
      <c r="B29" s="50">
        <v>25</v>
      </c>
      <c r="C29" s="50">
        <v>25</v>
      </c>
      <c r="D29" s="50" t="s">
        <v>469</v>
      </c>
      <c r="E29" s="57">
        <v>2550</v>
      </c>
      <c r="F29" s="50">
        <v>1</v>
      </c>
      <c r="G29" s="57" t="s">
        <v>334</v>
      </c>
      <c r="H29" s="51" t="s">
        <v>741</v>
      </c>
      <c r="I29" s="50" t="s">
        <v>248</v>
      </c>
      <c r="J29" s="50" t="s">
        <v>253</v>
      </c>
      <c r="K29" s="47">
        <v>1</v>
      </c>
      <c r="L29" s="47">
        <v>1</v>
      </c>
      <c r="M29" s="56" t="str">
        <f t="shared" si="0"/>
        <v>,(25,"쟈뎅 아워티 콤푸차 베리 10p",2550,1,"","쟈뎅 아워티 콤푸차 베리 10p.jpg","01","0105",1,1)</v>
      </c>
      <c r="O29" s="19" t="s">
        <v>604</v>
      </c>
      <c r="P29" s="48" t="str">
        <f t="shared" si="1"/>
        <v>"쟈뎅 아워티 콤푸차 베리 10p.jpg"</v>
      </c>
      <c r="Q29" s="13" t="s">
        <v>11</v>
      </c>
      <c r="R29" s="48" t="str">
        <f>VLOOKUP(Q29,'상품 분류코드'!$B$33:$D$35,3,0)</f>
        <v>"01"</v>
      </c>
      <c r="S29" s="13" t="s">
        <v>15</v>
      </c>
      <c r="T29" s="48" t="str">
        <f>VLOOKUP(S29,'상품 분류코드'!$B$4:$D$31,3,0)</f>
        <v>"0105"</v>
      </c>
    </row>
    <row r="30" spans="2:20" ht="17.399999999999999">
      <c r="B30" s="50">
        <v>26</v>
      </c>
      <c r="C30" s="50">
        <v>26</v>
      </c>
      <c r="D30" s="50" t="s">
        <v>470</v>
      </c>
      <c r="E30" s="57">
        <v>2550</v>
      </c>
      <c r="F30" s="50">
        <v>1</v>
      </c>
      <c r="G30" s="57" t="s">
        <v>334</v>
      </c>
      <c r="H30" s="51" t="s">
        <v>742</v>
      </c>
      <c r="I30" s="50" t="s">
        <v>248</v>
      </c>
      <c r="J30" s="50" t="s">
        <v>253</v>
      </c>
      <c r="K30" s="47">
        <v>1</v>
      </c>
      <c r="L30" s="47">
        <v>1</v>
      </c>
      <c r="M30" s="56" t="str">
        <f t="shared" si="0"/>
        <v>,(26,"쟈뎅 아워티 콤푸차 자몽 10p",2550,1,"","쟈뎅 아워티 콤푸차 자몽 10p.jpg","01","0105",1,1)</v>
      </c>
      <c r="O30" s="27" t="s">
        <v>605</v>
      </c>
      <c r="P30" s="48" t="str">
        <f t="shared" si="1"/>
        <v>"쟈뎅 아워티 콤푸차 자몽 10p.jpg"</v>
      </c>
      <c r="Q30" s="13" t="s">
        <v>11</v>
      </c>
      <c r="R30" s="48" t="str">
        <f>VLOOKUP(Q30,'상품 분류코드'!$B$33:$D$35,3,0)</f>
        <v>"01"</v>
      </c>
      <c r="S30" s="13" t="s">
        <v>15</v>
      </c>
      <c r="T30" s="48" t="str">
        <f>VLOOKUP(S30,'상품 분류코드'!$B$4:$D$31,3,0)</f>
        <v>"0105"</v>
      </c>
    </row>
    <row r="31" spans="2:20" ht="17.399999999999999">
      <c r="B31" s="50">
        <v>27</v>
      </c>
      <c r="C31" s="50">
        <v>27</v>
      </c>
      <c r="D31" s="50" t="s">
        <v>471</v>
      </c>
      <c r="E31" s="57">
        <v>570</v>
      </c>
      <c r="F31" s="50">
        <v>8</v>
      </c>
      <c r="G31" s="57" t="s">
        <v>334</v>
      </c>
      <c r="H31" s="51" t="s">
        <v>743</v>
      </c>
      <c r="I31" s="50" t="s">
        <v>248</v>
      </c>
      <c r="J31" s="50" t="s">
        <v>254</v>
      </c>
      <c r="K31" s="47">
        <v>1</v>
      </c>
      <c r="L31" s="47">
        <v>1</v>
      </c>
      <c r="M31" s="56" t="str">
        <f t="shared" si="0"/>
        <v>,(27,"박카스맛젤리",570,8,"","박카스맛젤리.jpg","01","0106",1,1)</v>
      </c>
      <c r="O31" s="19" t="s">
        <v>606</v>
      </c>
      <c r="P31" s="48" t="str">
        <f t="shared" si="1"/>
        <v>"박카스맛젤리.jpg"</v>
      </c>
      <c r="Q31" s="13" t="s">
        <v>11</v>
      </c>
      <c r="R31" s="48" t="str">
        <f>VLOOKUP(Q31,'상품 분류코드'!$B$33:$D$35,3,0)</f>
        <v>"01"</v>
      </c>
      <c r="S31" s="13" t="s">
        <v>16</v>
      </c>
      <c r="T31" s="48" t="str">
        <f>VLOOKUP(S31,'상품 분류코드'!$B$4:$D$31,3,0)</f>
        <v>"0106"</v>
      </c>
    </row>
    <row r="32" spans="2:20" ht="17.399999999999999">
      <c r="B32" s="50">
        <v>28</v>
      </c>
      <c r="C32" s="50">
        <v>28</v>
      </c>
      <c r="D32" s="50" t="s">
        <v>472</v>
      </c>
      <c r="E32" s="57">
        <v>960</v>
      </c>
      <c r="F32" s="50">
        <v>8</v>
      </c>
      <c r="G32" s="57" t="s">
        <v>334</v>
      </c>
      <c r="H32" s="51" t="s">
        <v>744</v>
      </c>
      <c r="I32" s="50" t="s">
        <v>248</v>
      </c>
      <c r="J32" s="50" t="s">
        <v>254</v>
      </c>
      <c r="K32" s="47">
        <v>1</v>
      </c>
      <c r="L32" s="47">
        <v>1</v>
      </c>
      <c r="M32" s="56" t="str">
        <f t="shared" si="0"/>
        <v>,(28,"이클립스 페퍼민트향 34g",960,8,"","이클립스 페퍼민트향 34g.jpg","01","0106",1,1)</v>
      </c>
      <c r="O32" s="19" t="s">
        <v>607</v>
      </c>
      <c r="P32" s="48" t="str">
        <f t="shared" si="1"/>
        <v>"이클립스 페퍼민트향 34g.jpg"</v>
      </c>
      <c r="Q32" s="13" t="s">
        <v>11</v>
      </c>
      <c r="R32" s="48" t="str">
        <f>VLOOKUP(Q32,'상품 분류코드'!$B$33:$D$35,3,0)</f>
        <v>"01"</v>
      </c>
      <c r="S32" s="13" t="s">
        <v>16</v>
      </c>
      <c r="T32" s="48" t="str">
        <f>VLOOKUP(S32,'상품 분류코드'!$B$4:$D$31,3,0)</f>
        <v>"0106"</v>
      </c>
    </row>
    <row r="33" spans="2:20" ht="17.399999999999999">
      <c r="B33" s="50">
        <v>29</v>
      </c>
      <c r="C33" s="50">
        <v>29</v>
      </c>
      <c r="D33" s="50" t="s">
        <v>473</v>
      </c>
      <c r="E33" s="57">
        <v>990</v>
      </c>
      <c r="F33" s="50">
        <v>8</v>
      </c>
      <c r="G33" s="57" t="s">
        <v>334</v>
      </c>
      <c r="H33" s="51" t="s">
        <v>745</v>
      </c>
      <c r="I33" s="50" t="s">
        <v>248</v>
      </c>
      <c r="J33" s="50" t="s">
        <v>254</v>
      </c>
      <c r="K33" s="47">
        <v>1</v>
      </c>
      <c r="L33" s="47">
        <v>1</v>
      </c>
      <c r="M33" s="56" t="str">
        <f t="shared" si="0"/>
        <v>,(29,"이클립스 피치향 34g",990,8,"","이클립스 피치향 34g.jpg","01","0106",1,1)</v>
      </c>
      <c r="O33" s="19" t="s">
        <v>608</v>
      </c>
      <c r="P33" s="48" t="str">
        <f t="shared" si="1"/>
        <v>"이클립스 피치향 34g.jpg"</v>
      </c>
      <c r="Q33" s="13" t="s">
        <v>11</v>
      </c>
      <c r="R33" s="48" t="str">
        <f>VLOOKUP(Q33,'상품 분류코드'!$B$33:$D$35,3,0)</f>
        <v>"01"</v>
      </c>
      <c r="S33" s="13" t="s">
        <v>16</v>
      </c>
      <c r="T33" s="48" t="str">
        <f>VLOOKUP(S33,'상품 분류코드'!$B$4:$D$31,3,0)</f>
        <v>"0106"</v>
      </c>
    </row>
    <row r="34" spans="2:20" ht="17.399999999999999">
      <c r="B34" s="50">
        <v>30</v>
      </c>
      <c r="C34" s="50">
        <v>30</v>
      </c>
      <c r="D34" s="50" t="s">
        <v>474</v>
      </c>
      <c r="E34" s="57">
        <v>36960</v>
      </c>
      <c r="F34" s="50">
        <v>1</v>
      </c>
      <c r="G34" s="57" t="s">
        <v>334</v>
      </c>
      <c r="H34" s="51" t="s">
        <v>746</v>
      </c>
      <c r="I34" s="50" t="s">
        <v>248</v>
      </c>
      <c r="J34" s="50" t="s">
        <v>259</v>
      </c>
      <c r="K34" s="47">
        <v>1</v>
      </c>
      <c r="L34" s="47">
        <v>1</v>
      </c>
      <c r="M34" s="56" t="str">
        <f t="shared" si="0"/>
        <v>,(30,"맥스빌더",36960,1,"","맥스빌더.jpg","01","0111",1,1)</v>
      </c>
      <c r="O34" s="19" t="s">
        <v>609</v>
      </c>
      <c r="P34" s="48" t="str">
        <f t="shared" si="1"/>
        <v>"맥스빌더.jpg"</v>
      </c>
      <c r="Q34" s="13" t="s">
        <v>11</v>
      </c>
      <c r="R34" s="48" t="str">
        <f>VLOOKUP(Q34,'상품 분류코드'!$B$33:$D$35,3,0)</f>
        <v>"01"</v>
      </c>
      <c r="S34" s="26" t="s">
        <v>278</v>
      </c>
      <c r="T34" s="48" t="str">
        <f>VLOOKUP(S34,'상품 분류코드'!$B$4:$D$31,3,0)</f>
        <v>"0111"</v>
      </c>
    </row>
    <row r="35" spans="2:20" ht="17.399999999999999">
      <c r="B35" s="50">
        <v>31</v>
      </c>
      <c r="C35" s="50">
        <v>31</v>
      </c>
      <c r="D35" s="50" t="s">
        <v>475</v>
      </c>
      <c r="E35" s="57">
        <v>440</v>
      </c>
      <c r="F35" s="50">
        <v>12</v>
      </c>
      <c r="G35" s="57" t="s">
        <v>334</v>
      </c>
      <c r="H35" s="51" t="s">
        <v>747</v>
      </c>
      <c r="I35" s="50" t="s">
        <v>248</v>
      </c>
      <c r="J35" s="50" t="s">
        <v>256</v>
      </c>
      <c r="K35" s="47">
        <v>1</v>
      </c>
      <c r="L35" s="47">
        <v>1</v>
      </c>
      <c r="M35" s="56" t="str">
        <f t="shared" si="0"/>
        <v>,(31,"롯데햄 키스틱 더블치즈 소시지",440,12,"","롯데햄 키스틱 더블치즈 소시지.jpg","01","0108",1,1)</v>
      </c>
      <c r="O35" s="19" t="s">
        <v>610</v>
      </c>
      <c r="P35" s="48" t="str">
        <f t="shared" si="1"/>
        <v>"롯데햄 키스틱 더블치즈 소시지.jpg"</v>
      </c>
      <c r="Q35" s="13" t="s">
        <v>11</v>
      </c>
      <c r="R35" s="48" t="str">
        <f>VLOOKUP(Q35,'상품 분류코드'!$B$33:$D$35,3,0)</f>
        <v>"01"</v>
      </c>
      <c r="S35" s="13" t="s">
        <v>42</v>
      </c>
      <c r="T35" s="48" t="str">
        <f>VLOOKUP(S35,'상품 분류코드'!$B$4:$D$31,3,0)</f>
        <v>"0108"</v>
      </c>
    </row>
    <row r="36" spans="2:20" ht="17.399999999999999">
      <c r="B36" s="50">
        <v>32</v>
      </c>
      <c r="C36" s="50">
        <v>32</v>
      </c>
      <c r="D36" s="50" t="s">
        <v>476</v>
      </c>
      <c r="E36" s="57">
        <v>660</v>
      </c>
      <c r="F36" s="50">
        <v>12</v>
      </c>
      <c r="G36" s="57" t="s">
        <v>334</v>
      </c>
      <c r="H36" s="51" t="s">
        <v>748</v>
      </c>
      <c r="I36" s="50" t="s">
        <v>248</v>
      </c>
      <c r="J36" s="50" t="s">
        <v>256</v>
      </c>
      <c r="K36" s="47">
        <v>1</v>
      </c>
      <c r="L36" s="47">
        <v>1</v>
      </c>
      <c r="M36" s="56" t="str">
        <f t="shared" si="0"/>
        <v>,(32,"키스틱",660,12,"","키스틱.jpg","01","0108",1,1)</v>
      </c>
      <c r="O36" s="19" t="s">
        <v>611</v>
      </c>
      <c r="P36" s="48" t="str">
        <f t="shared" si="1"/>
        <v>"키스틱.jpg"</v>
      </c>
      <c r="Q36" s="13" t="s">
        <v>11</v>
      </c>
      <c r="R36" s="48" t="str">
        <f>VLOOKUP(Q36,'상품 분류코드'!$B$33:$D$35,3,0)</f>
        <v>"01"</v>
      </c>
      <c r="S36" s="13" t="s">
        <v>42</v>
      </c>
      <c r="T36" s="48" t="str">
        <f>VLOOKUP(S36,'상품 분류코드'!$B$4:$D$31,3,0)</f>
        <v>"0108"</v>
      </c>
    </row>
    <row r="37" spans="2:20" ht="17.399999999999999">
      <c r="B37" s="50">
        <v>33</v>
      </c>
      <c r="C37" s="50">
        <v>33</v>
      </c>
      <c r="D37" s="50" t="s">
        <v>477</v>
      </c>
      <c r="E37" s="57">
        <v>960</v>
      </c>
      <c r="F37" s="50">
        <v>10</v>
      </c>
      <c r="G37" s="57" t="s">
        <v>334</v>
      </c>
      <c r="H37" s="51" t="s">
        <v>749</v>
      </c>
      <c r="I37" s="50" t="s">
        <v>248</v>
      </c>
      <c r="J37" s="50" t="s">
        <v>257</v>
      </c>
      <c r="K37" s="47">
        <v>1</v>
      </c>
      <c r="L37" s="47">
        <v>1</v>
      </c>
      <c r="M37" s="56" t="str">
        <f t="shared" si="0"/>
        <v>,(33,"퀘이커 마시는오트밀 오트&amp;그레인, 50g",960,10,"","퀘이커 마시는오트밀 오트&amp;그레인, 50g.jpg","01","0109",1,1)</v>
      </c>
      <c r="O37" s="19" t="s">
        <v>612</v>
      </c>
      <c r="P37" s="48" t="str">
        <f t="shared" si="1"/>
        <v>"퀘이커 마시는오트밀 오트&amp;그레인, 50g.jpg"</v>
      </c>
      <c r="Q37" s="13" t="s">
        <v>11</v>
      </c>
      <c r="R37" s="48" t="str">
        <f>VLOOKUP(Q37,'상품 분류코드'!$B$33:$D$35,3,0)</f>
        <v>"01"</v>
      </c>
      <c r="S37" s="13" t="s">
        <v>277</v>
      </c>
      <c r="T37" s="48" t="str">
        <f>VLOOKUP(S37,'상품 분류코드'!$B$4:$D$31,3,0)</f>
        <v>"0109"</v>
      </c>
    </row>
    <row r="38" spans="2:20" ht="17.399999999999999">
      <c r="B38" s="50">
        <v>34</v>
      </c>
      <c r="C38" s="50">
        <v>34</v>
      </c>
      <c r="D38" s="50" t="s">
        <v>478</v>
      </c>
      <c r="E38" s="57">
        <v>940</v>
      </c>
      <c r="F38" s="50">
        <v>10</v>
      </c>
      <c r="G38" s="57" t="s">
        <v>334</v>
      </c>
      <c r="H38" s="51" t="s">
        <v>750</v>
      </c>
      <c r="I38" s="50" t="s">
        <v>248</v>
      </c>
      <c r="J38" s="50" t="s">
        <v>257</v>
      </c>
      <c r="K38" s="47">
        <v>1</v>
      </c>
      <c r="L38" s="47">
        <v>1</v>
      </c>
      <c r="M38" s="56" t="str">
        <f t="shared" si="0"/>
        <v>,(34,"퀘이커 마시는 오트밀 오트&amp;우리쌀, 50g",940,10,"","퀘이커 마시는 오트밀 오트&amp;우리쌀, 50g.jpg","01","0109",1,1)</v>
      </c>
      <c r="O38" s="19" t="s">
        <v>613</v>
      </c>
      <c r="P38" s="48" t="str">
        <f t="shared" si="1"/>
        <v>"퀘이커 마시는 오트밀 오트&amp;우리쌀, 50g.jpg"</v>
      </c>
      <c r="Q38" s="13" t="s">
        <v>11</v>
      </c>
      <c r="R38" s="48" t="str">
        <f>VLOOKUP(Q38,'상품 분류코드'!$B$33:$D$35,3,0)</f>
        <v>"01"</v>
      </c>
      <c r="S38" s="13" t="s">
        <v>277</v>
      </c>
      <c r="T38" s="48" t="str">
        <f>VLOOKUP(S38,'상품 분류코드'!$B$4:$D$31,3,0)</f>
        <v>"0109"</v>
      </c>
    </row>
    <row r="39" spans="2:20" ht="17.399999999999999">
      <c r="B39" s="50">
        <v>35</v>
      </c>
      <c r="C39" s="50">
        <v>35</v>
      </c>
      <c r="D39" s="50" t="s">
        <v>479</v>
      </c>
      <c r="E39" s="57">
        <v>1390</v>
      </c>
      <c r="F39" s="50">
        <v>10</v>
      </c>
      <c r="G39" s="57" t="s">
        <v>334</v>
      </c>
      <c r="H39" s="51" t="s">
        <v>751</v>
      </c>
      <c r="I39" s="50" t="s">
        <v>248</v>
      </c>
      <c r="J39" s="50" t="s">
        <v>257</v>
      </c>
      <c r="K39" s="47">
        <v>1</v>
      </c>
      <c r="L39" s="47">
        <v>1</v>
      </c>
      <c r="M39" s="56" t="str">
        <f t="shared" si="0"/>
        <v>,(35,"퀘이커 마시는 오트밀 단백질, 80g",1390,10,"","퀘이커 마시는 오트밀 단백질, 80g.jpg","01","0109",1,1)</v>
      </c>
      <c r="O39" s="19" t="s">
        <v>614</v>
      </c>
      <c r="P39" s="48" t="str">
        <f t="shared" si="1"/>
        <v>"퀘이커 마시는 오트밀 단백질, 80g.jpg"</v>
      </c>
      <c r="Q39" s="13" t="s">
        <v>11</v>
      </c>
      <c r="R39" s="48" t="str">
        <f>VLOOKUP(Q39,'상품 분류코드'!$B$33:$D$35,3,0)</f>
        <v>"01"</v>
      </c>
      <c r="S39" s="13" t="s">
        <v>277</v>
      </c>
      <c r="T39" s="48" t="str">
        <f>VLOOKUP(S39,'상품 분류코드'!$B$4:$D$31,3,0)</f>
        <v>"0109"</v>
      </c>
    </row>
    <row r="40" spans="2:20" ht="17.399999999999999">
      <c r="B40" s="50">
        <v>36</v>
      </c>
      <c r="C40" s="50">
        <v>36</v>
      </c>
      <c r="D40" s="50" t="s">
        <v>480</v>
      </c>
      <c r="E40" s="57">
        <v>1080</v>
      </c>
      <c r="F40" s="50">
        <v>10</v>
      </c>
      <c r="G40" s="57" t="s">
        <v>334</v>
      </c>
      <c r="H40" s="51" t="s">
        <v>752</v>
      </c>
      <c r="I40" s="50" t="s">
        <v>248</v>
      </c>
      <c r="J40" s="50" t="s">
        <v>257</v>
      </c>
      <c r="K40" s="47">
        <v>1</v>
      </c>
      <c r="L40" s="47">
        <v>1</v>
      </c>
      <c r="M40" s="56" t="str">
        <f t="shared" si="0"/>
        <v>,(36,"퀘이커 마시는 오트밀 찰옥수수, 50g",1080,10,"","퀘이커 마시는 오트밀 찰옥수수, 50g.jpg","01","0109",1,1)</v>
      </c>
      <c r="O40" s="19" t="s">
        <v>615</v>
      </c>
      <c r="P40" s="48" t="str">
        <f t="shared" si="1"/>
        <v>"퀘이커 마시는 오트밀 찰옥수수, 50g.jpg"</v>
      </c>
      <c r="Q40" s="13" t="s">
        <v>11</v>
      </c>
      <c r="R40" s="48" t="str">
        <f>VLOOKUP(Q40,'상품 분류코드'!$B$33:$D$35,3,0)</f>
        <v>"01"</v>
      </c>
      <c r="S40" s="13" t="s">
        <v>277</v>
      </c>
      <c r="T40" s="48" t="str">
        <f>VLOOKUP(S40,'상품 분류코드'!$B$4:$D$31,3,0)</f>
        <v>"0109"</v>
      </c>
    </row>
    <row r="41" spans="2:20" ht="17.399999999999999">
      <c r="B41" s="50">
        <v>37</v>
      </c>
      <c r="C41" s="50">
        <v>37</v>
      </c>
      <c r="D41" s="50" t="s">
        <v>481</v>
      </c>
      <c r="E41" s="57">
        <v>480</v>
      </c>
      <c r="F41" s="50">
        <v>10</v>
      </c>
      <c r="G41" s="57" t="s">
        <v>334</v>
      </c>
      <c r="H41" s="51" t="s">
        <v>753</v>
      </c>
      <c r="I41" s="50" t="s">
        <v>260</v>
      </c>
      <c r="J41" s="50" t="s">
        <v>261</v>
      </c>
      <c r="K41" s="47">
        <v>1</v>
      </c>
      <c r="L41" s="47">
        <v>1</v>
      </c>
      <c r="M41" s="56" t="str">
        <f t="shared" si="0"/>
        <v>,(37,"SNP 골드 콜라겐 앰플 마스크",480,10,"","SNP 골드 콜라겐 앰플 마스크.jpg","02","0201",1,1)</v>
      </c>
      <c r="O41" s="19" t="s">
        <v>616</v>
      </c>
      <c r="P41" s="48" t="str">
        <f t="shared" si="1"/>
        <v>"SNP 골드 콜라겐 앰플 마스크.jpg"</v>
      </c>
      <c r="Q41" s="13" t="s">
        <v>17</v>
      </c>
      <c r="R41" s="48" t="str">
        <f>VLOOKUP(Q41,'상품 분류코드'!$B$33:$D$35,3,0)</f>
        <v>"02"</v>
      </c>
      <c r="S41" s="13" t="s">
        <v>18</v>
      </c>
      <c r="T41" s="48" t="str">
        <f>VLOOKUP(S41,'상품 분류코드'!$B$4:$D$31,3,0)</f>
        <v>"0201"</v>
      </c>
    </row>
    <row r="42" spans="2:20" ht="17.399999999999999">
      <c r="B42" s="50">
        <v>38</v>
      </c>
      <c r="C42" s="50">
        <v>38</v>
      </c>
      <c r="D42" s="50" t="s">
        <v>482</v>
      </c>
      <c r="E42" s="57">
        <v>700</v>
      </c>
      <c r="F42" s="50">
        <v>10</v>
      </c>
      <c r="G42" s="57" t="s">
        <v>334</v>
      </c>
      <c r="H42" s="51" t="s">
        <v>754</v>
      </c>
      <c r="I42" s="50" t="s">
        <v>260</v>
      </c>
      <c r="J42" s="50" t="s">
        <v>261</v>
      </c>
      <c r="K42" s="47">
        <v>1</v>
      </c>
      <c r="L42" s="47">
        <v>1</v>
      </c>
      <c r="M42" s="56" t="str">
        <f t="shared" si="0"/>
        <v>,(38,"메디힐 디엔에이 프로아틴 마스크",700,10,"","메디힐 디엔에이 프로아틴 마스크.jpg","02","0201",1,1)</v>
      </c>
      <c r="O42" s="19" t="s">
        <v>617</v>
      </c>
      <c r="P42" s="48" t="str">
        <f t="shared" si="1"/>
        <v>"메디힐 디엔에이 프로아틴 마스크.jpg"</v>
      </c>
      <c r="Q42" s="13" t="s">
        <v>17</v>
      </c>
      <c r="R42" s="48" t="str">
        <f>VLOOKUP(Q42,'상품 분류코드'!$B$33:$D$35,3,0)</f>
        <v>"02"</v>
      </c>
      <c r="S42" s="13" t="s">
        <v>18</v>
      </c>
      <c r="T42" s="48" t="str">
        <f>VLOOKUP(S42,'상품 분류코드'!$B$4:$D$31,3,0)</f>
        <v>"0201"</v>
      </c>
    </row>
    <row r="43" spans="2:20" ht="17.399999999999999">
      <c r="B43" s="50">
        <v>39</v>
      </c>
      <c r="C43" s="50">
        <v>39</v>
      </c>
      <c r="D43" s="50" t="s">
        <v>483</v>
      </c>
      <c r="E43" s="57">
        <v>4750</v>
      </c>
      <c r="F43" s="50">
        <v>1</v>
      </c>
      <c r="G43" s="57" t="s">
        <v>334</v>
      </c>
      <c r="H43" s="51" t="s">
        <v>755</v>
      </c>
      <c r="I43" s="50" t="s">
        <v>260</v>
      </c>
      <c r="J43" s="50" t="s">
        <v>262</v>
      </c>
      <c r="K43" s="47">
        <v>1</v>
      </c>
      <c r="L43" s="47">
        <v>1</v>
      </c>
      <c r="M43" s="56" t="str">
        <f t="shared" si="0"/>
        <v>,(39,"닥터지 메디유브이 울트라 선 50ml",4750,1,"","닥터지 메디유브이 울트라 선 50ml.jpg","02","0202",1,1)</v>
      </c>
      <c r="O43" s="19" t="s">
        <v>618</v>
      </c>
      <c r="P43" s="48" t="str">
        <f t="shared" si="1"/>
        <v>"닥터지 메디유브이 울트라 선 50ml.jpg"</v>
      </c>
      <c r="Q43" s="13" t="s">
        <v>17</v>
      </c>
      <c r="R43" s="48" t="str">
        <f>VLOOKUP(Q43,'상품 분류코드'!$B$33:$D$35,3,0)</f>
        <v>"02"</v>
      </c>
      <c r="S43" s="13" t="s">
        <v>19</v>
      </c>
      <c r="T43" s="48" t="str">
        <f>VLOOKUP(S43,'상품 분류코드'!$B$4:$D$31,3,0)</f>
        <v>"0202"</v>
      </c>
    </row>
    <row r="44" spans="2:20" ht="17.399999999999999">
      <c r="B44" s="50">
        <v>40</v>
      </c>
      <c r="C44" s="50">
        <v>40</v>
      </c>
      <c r="D44" s="50" t="s">
        <v>484</v>
      </c>
      <c r="E44" s="57">
        <v>8800</v>
      </c>
      <c r="F44" s="50">
        <v>1</v>
      </c>
      <c r="G44" s="57" t="s">
        <v>334</v>
      </c>
      <c r="H44" s="50" t="s">
        <v>756</v>
      </c>
      <c r="I44" s="50" t="s">
        <v>260</v>
      </c>
      <c r="J44" s="50" t="s">
        <v>262</v>
      </c>
      <c r="K44" s="47">
        <v>1</v>
      </c>
      <c r="L44" s="47">
        <v>1</v>
      </c>
      <c r="M44" s="56" t="str">
        <f t="shared" si="0"/>
        <v>,(40,"AHC 내추럴 퍼펙션 프레쉬선스틱",8800,1,"","AHC 내추럴 퍼펙션 프레쉬선스틱.jpg","02","0202",1,1)</v>
      </c>
      <c r="O44" s="19" t="s">
        <v>619</v>
      </c>
      <c r="P44" s="48" t="str">
        <f t="shared" si="1"/>
        <v>"AHC 내추럴 퍼펙션 프레쉬선스틱.jpg"</v>
      </c>
      <c r="Q44" s="13" t="s">
        <v>17</v>
      </c>
      <c r="R44" s="48" t="str">
        <f>VLOOKUP(Q44,'상품 분류코드'!$B$33:$D$35,3,0)</f>
        <v>"02"</v>
      </c>
      <c r="S44" s="13" t="s">
        <v>19</v>
      </c>
      <c r="T44" s="48" t="str">
        <f>VLOOKUP(S44,'상품 분류코드'!$B$4:$D$31,3,0)</f>
        <v>"0202"</v>
      </c>
    </row>
    <row r="45" spans="2:20" ht="17.399999999999999">
      <c r="B45" s="50">
        <v>41</v>
      </c>
      <c r="C45" s="50">
        <v>41</v>
      </c>
      <c r="D45" s="50" t="s">
        <v>485</v>
      </c>
      <c r="E45" s="57">
        <v>5560</v>
      </c>
      <c r="F45" s="50">
        <v>1</v>
      </c>
      <c r="G45" s="57" t="s">
        <v>334</v>
      </c>
      <c r="H45" s="50" t="s">
        <v>757</v>
      </c>
      <c r="I45" s="50" t="s">
        <v>260</v>
      </c>
      <c r="J45" s="50" t="s">
        <v>263</v>
      </c>
      <c r="K45" s="47">
        <v>1</v>
      </c>
      <c r="L45" s="47">
        <v>1</v>
      </c>
      <c r="M45" s="56" t="str">
        <f t="shared" si="0"/>
        <v>,(41,"AHC프라이빗 리얼아이크림기프트세트",5560,1,"","AHC프라이빗 리얼아이크림기프트세트.jpg","02","0203",1,1)</v>
      </c>
      <c r="O45" s="19" t="s">
        <v>620</v>
      </c>
      <c r="P45" s="48" t="str">
        <f t="shared" si="1"/>
        <v>"AHC프라이빗 리얼아이크림기프트세트.jpg"</v>
      </c>
      <c r="Q45" s="13" t="s">
        <v>17</v>
      </c>
      <c r="R45" s="48" t="str">
        <f>VLOOKUP(Q45,'상품 분류코드'!$B$33:$D$35,3,0)</f>
        <v>"02"</v>
      </c>
      <c r="S45" s="13" t="s">
        <v>20</v>
      </c>
      <c r="T45" s="48" t="str">
        <f>VLOOKUP(S45,'상품 분류코드'!$B$4:$D$31,3,0)</f>
        <v>"0203"</v>
      </c>
    </row>
    <row r="46" spans="2:20" ht="17.399999999999999">
      <c r="B46" s="50">
        <v>42</v>
      </c>
      <c r="C46" s="50">
        <v>42</v>
      </c>
      <c r="D46" s="50" t="s">
        <v>486</v>
      </c>
      <c r="E46" s="57">
        <v>4710</v>
      </c>
      <c r="F46" s="50">
        <v>1</v>
      </c>
      <c r="G46" s="57" t="s">
        <v>334</v>
      </c>
      <c r="H46" s="50" t="s">
        <v>758</v>
      </c>
      <c r="I46" s="50" t="s">
        <v>260</v>
      </c>
      <c r="J46" s="50" t="s">
        <v>264</v>
      </c>
      <c r="K46" s="47">
        <v>1</v>
      </c>
      <c r="L46" s="47">
        <v>1</v>
      </c>
      <c r="M46" s="56" t="str">
        <f t="shared" si="0"/>
        <v>,(42,"마녀공장 비피다 바이옴 수분 장벽 강화 크림 기획세트",4710,1,"","마녀공장 비피다 바이옴 수분 장벽 강화 크림 기획세트.jpg","02","0204",1,1)</v>
      </c>
      <c r="O46" s="19" t="s">
        <v>621</v>
      </c>
      <c r="P46" s="48" t="str">
        <f t="shared" si="1"/>
        <v>"마녀공장 비피다 바이옴 수분 장벽 강화 크림 기획세트.jpg"</v>
      </c>
      <c r="Q46" s="13" t="s">
        <v>17</v>
      </c>
      <c r="R46" s="48" t="str">
        <f>VLOOKUP(Q46,'상품 분류코드'!$B$33:$D$35,3,0)</f>
        <v>"02"</v>
      </c>
      <c r="S46" s="13" t="s">
        <v>21</v>
      </c>
      <c r="T46" s="48" t="str">
        <f>VLOOKUP(S46,'상품 분류코드'!$B$4:$D$31,3,0)</f>
        <v>"0204"</v>
      </c>
    </row>
    <row r="47" spans="2:20" ht="17.399999999999999">
      <c r="B47" s="50">
        <v>43</v>
      </c>
      <c r="C47" s="50">
        <v>43</v>
      </c>
      <c r="D47" s="50" t="s">
        <v>487</v>
      </c>
      <c r="E47" s="57">
        <v>7900</v>
      </c>
      <c r="F47" s="50">
        <v>1</v>
      </c>
      <c r="G47" s="57" t="s">
        <v>334</v>
      </c>
      <c r="H47" s="50" t="s">
        <v>759</v>
      </c>
      <c r="I47" s="50" t="s">
        <v>260</v>
      </c>
      <c r="J47" s="50" t="s">
        <v>264</v>
      </c>
      <c r="K47" s="47">
        <v>1</v>
      </c>
      <c r="L47" s="47">
        <v>1</v>
      </c>
      <c r="M47" s="56" t="str">
        <f t="shared" si="0"/>
        <v>,(43,"이니스프리 퍼펙트9인텐시브 크림",7900,1,"","이니스프리 퍼펙트9인텐시브 크림.jpg","02","0204",1,1)</v>
      </c>
      <c r="O47" s="19" t="s">
        <v>622</v>
      </c>
      <c r="P47" s="48" t="str">
        <f t="shared" si="1"/>
        <v>"이니스프리 퍼펙트9인텐시브 크림.jpg"</v>
      </c>
      <c r="Q47" s="13" t="s">
        <v>17</v>
      </c>
      <c r="R47" s="48" t="str">
        <f>VLOOKUP(Q47,'상품 분류코드'!$B$33:$D$35,3,0)</f>
        <v>"02"</v>
      </c>
      <c r="S47" s="13" t="s">
        <v>21</v>
      </c>
      <c r="T47" s="48" t="str">
        <f>VLOOKUP(S47,'상품 분류코드'!$B$4:$D$31,3,0)</f>
        <v>"0204"</v>
      </c>
    </row>
    <row r="48" spans="2:20" ht="17.399999999999999">
      <c r="B48" s="50">
        <v>44</v>
      </c>
      <c r="C48" s="50">
        <v>44</v>
      </c>
      <c r="D48" s="50" t="s">
        <v>488</v>
      </c>
      <c r="E48" s="57">
        <v>10080</v>
      </c>
      <c r="F48" s="50">
        <v>1</v>
      </c>
      <c r="G48" s="57" t="s">
        <v>334</v>
      </c>
      <c r="H48" s="50" t="s">
        <v>760</v>
      </c>
      <c r="I48" s="50" t="s">
        <v>260</v>
      </c>
      <c r="J48" s="50" t="s">
        <v>264</v>
      </c>
      <c r="K48" s="47">
        <v>1</v>
      </c>
      <c r="L48" s="47">
        <v>1</v>
      </c>
      <c r="M48" s="56" t="str">
        <f t="shared" si="0"/>
        <v>,(44,"닥터지 로얄 블랙스네일 크림",10080,1,"","닥터지 로얄 블랙스네일 크림.jpg","02","0204",1,1)</v>
      </c>
      <c r="O48" s="19" t="s">
        <v>623</v>
      </c>
      <c r="P48" s="48" t="str">
        <f t="shared" si="1"/>
        <v>"닥터지 로얄 블랙스네일 크림.jpg"</v>
      </c>
      <c r="Q48" s="13" t="s">
        <v>17</v>
      </c>
      <c r="R48" s="48" t="str">
        <f>VLOOKUP(Q48,'상품 분류코드'!$B$33:$D$35,3,0)</f>
        <v>"02"</v>
      </c>
      <c r="S48" s="13" t="s">
        <v>21</v>
      </c>
      <c r="T48" s="48" t="str">
        <f>VLOOKUP(S48,'상품 분류코드'!$B$4:$D$31,3,0)</f>
        <v>"0204"</v>
      </c>
    </row>
    <row r="49" spans="2:20" ht="17.399999999999999">
      <c r="B49" s="50">
        <v>45</v>
      </c>
      <c r="C49" s="50">
        <v>45</v>
      </c>
      <c r="D49" s="50" t="s">
        <v>489</v>
      </c>
      <c r="E49" s="57">
        <v>14090</v>
      </c>
      <c r="F49" s="50">
        <v>1</v>
      </c>
      <c r="G49" s="57" t="s">
        <v>334</v>
      </c>
      <c r="H49" s="50" t="s">
        <v>761</v>
      </c>
      <c r="I49" s="50" t="s">
        <v>260</v>
      </c>
      <c r="J49" s="50" t="s">
        <v>264</v>
      </c>
      <c r="K49" s="47">
        <v>1</v>
      </c>
      <c r="L49" s="47">
        <v>1</v>
      </c>
      <c r="M49" s="56" t="str">
        <f t="shared" si="0"/>
        <v>,(45,"아이소이 탄력크림EX",14090,1,"","아이소이 탄력크림EX.jpg","02","0204",1,1)</v>
      </c>
      <c r="O49" s="19" t="s">
        <v>624</v>
      </c>
      <c r="P49" s="48" t="str">
        <f t="shared" si="1"/>
        <v>"아이소이 탄력크림EX.jpg"</v>
      </c>
      <c r="Q49" s="13" t="s">
        <v>17</v>
      </c>
      <c r="R49" s="48" t="str">
        <f>VLOOKUP(Q49,'상품 분류코드'!$B$33:$D$35,3,0)</f>
        <v>"02"</v>
      </c>
      <c r="S49" s="13" t="s">
        <v>21</v>
      </c>
      <c r="T49" s="48" t="str">
        <f>VLOOKUP(S49,'상품 분류코드'!$B$4:$D$31,3,0)</f>
        <v>"0204"</v>
      </c>
    </row>
    <row r="50" spans="2:20" ht="17.399999999999999">
      <c r="B50" s="50">
        <v>46</v>
      </c>
      <c r="C50" s="50">
        <v>46</v>
      </c>
      <c r="D50" s="50" t="s">
        <v>490</v>
      </c>
      <c r="E50" s="57">
        <v>38930</v>
      </c>
      <c r="F50" s="50">
        <v>1</v>
      </c>
      <c r="G50" s="57" t="s">
        <v>334</v>
      </c>
      <c r="H50" s="50" t="s">
        <v>762</v>
      </c>
      <c r="I50" s="50" t="s">
        <v>260</v>
      </c>
      <c r="J50" s="50" t="s">
        <v>264</v>
      </c>
      <c r="K50" s="47">
        <v>1</v>
      </c>
      <c r="L50" s="47">
        <v>1</v>
      </c>
      <c r="M50" s="56" t="str">
        <f t="shared" si="0"/>
        <v>,(46,"다이아몬드 리페어 퍼펙트 세트",38930,1,"","다이아몬드 리페어 퍼펙트 세트.jpg","02","0204",1,1)</v>
      </c>
      <c r="O50" s="19" t="s">
        <v>625</v>
      </c>
      <c r="P50" s="48" t="str">
        <f t="shared" si="1"/>
        <v>"다이아몬드 리페어 퍼펙트 세트.jpg"</v>
      </c>
      <c r="Q50" s="13" t="s">
        <v>17</v>
      </c>
      <c r="R50" s="48" t="str">
        <f>VLOOKUP(Q50,'상품 분류코드'!$B$33:$D$35,3,0)</f>
        <v>"02"</v>
      </c>
      <c r="S50" s="13" t="s">
        <v>21</v>
      </c>
      <c r="T50" s="48" t="str">
        <f>VLOOKUP(S50,'상품 분류코드'!$B$4:$D$31,3,0)</f>
        <v>"0204"</v>
      </c>
    </row>
    <row r="51" spans="2:20" ht="17.399999999999999">
      <c r="B51" s="50">
        <v>47</v>
      </c>
      <c r="C51" s="50">
        <v>47</v>
      </c>
      <c r="D51" s="50" t="s">
        <v>491</v>
      </c>
      <c r="E51" s="57">
        <v>4320</v>
      </c>
      <c r="F51" s="50">
        <v>1</v>
      </c>
      <c r="G51" s="57" t="s">
        <v>334</v>
      </c>
      <c r="H51" s="50" t="s">
        <v>763</v>
      </c>
      <c r="I51" s="50" t="s">
        <v>260</v>
      </c>
      <c r="J51" s="50" t="s">
        <v>265</v>
      </c>
      <c r="K51" s="47">
        <v>1</v>
      </c>
      <c r="L51" s="47">
        <v>1</v>
      </c>
      <c r="M51" s="56" t="str">
        <f t="shared" si="0"/>
        <v>,(47,"닥터지 레드 블레미쉬 모이스처 클렌징 폼",4320,1,"","닥터지 레드 블레미쉬 모이스처 클렌징 폼.jpg","02","0205",1,1)</v>
      </c>
      <c r="O51" s="19" t="s">
        <v>626</v>
      </c>
      <c r="P51" s="48" t="str">
        <f t="shared" si="1"/>
        <v>"닥터지 레드 블레미쉬 모이스처 클렌징 폼.jpg"</v>
      </c>
      <c r="Q51" s="13" t="s">
        <v>17</v>
      </c>
      <c r="R51" s="48" t="str">
        <f>VLOOKUP(Q51,'상품 분류코드'!$B$33:$D$35,3,0)</f>
        <v>"02"</v>
      </c>
      <c r="S51" s="13" t="s">
        <v>23</v>
      </c>
      <c r="T51" s="48" t="str">
        <f>VLOOKUP(S51,'상품 분류코드'!$B$4:$D$31,3,0)</f>
        <v>"0205"</v>
      </c>
    </row>
    <row r="52" spans="2:20" ht="17.399999999999999">
      <c r="B52" s="50">
        <v>48</v>
      </c>
      <c r="C52" s="50">
        <v>48</v>
      </c>
      <c r="D52" s="50" t="s">
        <v>492</v>
      </c>
      <c r="E52" s="57">
        <v>4390</v>
      </c>
      <c r="F52" s="50">
        <v>1</v>
      </c>
      <c r="G52" s="57" t="s">
        <v>334</v>
      </c>
      <c r="H52" s="50" t="s">
        <v>764</v>
      </c>
      <c r="I52" s="50" t="s">
        <v>260</v>
      </c>
      <c r="J52" s="50" t="s">
        <v>265</v>
      </c>
      <c r="K52" s="47">
        <v>1</v>
      </c>
      <c r="L52" s="47">
        <v>1</v>
      </c>
      <c r="M52" s="56" t="str">
        <f t="shared" si="0"/>
        <v>,(48,"뉴트로지나 딥클린 아크네 포밍",4390,1,"","뉴트로지나 딥클린 아크네 포밍.jpg","02","0205",1,1)</v>
      </c>
      <c r="O52" s="19" t="s">
        <v>627</v>
      </c>
      <c r="P52" s="48" t="str">
        <f t="shared" si="1"/>
        <v>"뉴트로지나 딥클린 아크네 포밍.jpg"</v>
      </c>
      <c r="Q52" s="13" t="s">
        <v>17</v>
      </c>
      <c r="R52" s="48" t="str">
        <f>VLOOKUP(Q52,'상품 분류코드'!$B$33:$D$35,3,0)</f>
        <v>"02"</v>
      </c>
      <c r="S52" s="13" t="s">
        <v>23</v>
      </c>
      <c r="T52" s="48" t="str">
        <f>VLOOKUP(S52,'상품 분류코드'!$B$4:$D$31,3,0)</f>
        <v>"0205"</v>
      </c>
    </row>
    <row r="53" spans="2:20" ht="17.399999999999999">
      <c r="B53" s="50">
        <v>49</v>
      </c>
      <c r="C53" s="50">
        <v>49</v>
      </c>
      <c r="D53" s="50" t="s">
        <v>493</v>
      </c>
      <c r="E53" s="57">
        <v>10140</v>
      </c>
      <c r="F53" s="50">
        <v>1</v>
      </c>
      <c r="G53" s="57" t="s">
        <v>334</v>
      </c>
      <c r="H53" s="50" t="s">
        <v>765</v>
      </c>
      <c r="I53" s="50" t="s">
        <v>260</v>
      </c>
      <c r="J53" s="50" t="s">
        <v>266</v>
      </c>
      <c r="K53" s="47">
        <v>1</v>
      </c>
      <c r="L53" s="47">
        <v>1</v>
      </c>
      <c r="M53" s="56" t="str">
        <f t="shared" si="0"/>
        <v>,(49,"닥터지 레드 블레미쉬 클리어 수딩 토너, 500ml",10140,1,"","닥터지 레드 블레미쉬 클리어 수딩 토너, 500ml.jpg","02","0206",1,1)</v>
      </c>
      <c r="O53" s="19" t="s">
        <v>628</v>
      </c>
      <c r="P53" s="48" t="str">
        <f t="shared" si="1"/>
        <v>"닥터지 레드 블레미쉬 클리어 수딩 토너, 500ml.jpg"</v>
      </c>
      <c r="Q53" s="13" t="s">
        <v>17</v>
      </c>
      <c r="R53" s="48" t="str">
        <f>VLOOKUP(Q53,'상품 분류코드'!$B$33:$D$35,3,0)</f>
        <v>"02"</v>
      </c>
      <c r="S53" s="13" t="s">
        <v>279</v>
      </c>
      <c r="T53" s="48" t="str">
        <f>VLOOKUP(S53,'상품 분류코드'!$B$4:$D$31,3,0)</f>
        <v>"0206"</v>
      </c>
    </row>
    <row r="54" spans="2:20" ht="17.399999999999999">
      <c r="B54" s="50">
        <v>50</v>
      </c>
      <c r="C54" s="50">
        <v>50</v>
      </c>
      <c r="D54" s="50" t="s">
        <v>494</v>
      </c>
      <c r="E54" s="50">
        <v>21840</v>
      </c>
      <c r="F54" s="50">
        <v>1</v>
      </c>
      <c r="G54" s="57" t="s">
        <v>334</v>
      </c>
      <c r="H54" s="50" t="s">
        <v>766</v>
      </c>
      <c r="I54" s="50" t="s">
        <v>248</v>
      </c>
      <c r="J54" s="50" t="s">
        <v>258</v>
      </c>
      <c r="K54" s="47">
        <v>1</v>
      </c>
      <c r="L54" s="47">
        <v>1</v>
      </c>
      <c r="M54" s="56" t="str">
        <f t="shared" si="0"/>
        <v>,(50,"데체코 올리오 엑스트라 버진 디 올리바, 1L",21840,1,"","데체코 올리오 엑스트라 버진 디 올리바, 1L.jpg","01","0110",1,1)</v>
      </c>
      <c r="O54" s="24" t="s">
        <v>629</v>
      </c>
      <c r="P54" s="48" t="str">
        <f t="shared" si="1"/>
        <v>"데체코 올리오 엑스트라 버진 디 올리바, 1L.jpg"</v>
      </c>
      <c r="Q54" s="13" t="s">
        <v>11</v>
      </c>
      <c r="R54" s="48" t="str">
        <f>VLOOKUP(Q54,'상품 분류코드'!$B$33:$D$35,3,0)</f>
        <v>"01"</v>
      </c>
      <c r="S54" s="14" t="s">
        <v>218</v>
      </c>
      <c r="T54" s="48" t="str">
        <f>VLOOKUP(S54,'상품 분류코드'!$B$4:$D$31,3,0)</f>
        <v>"0110"</v>
      </c>
    </row>
    <row r="55" spans="2:20" ht="17.399999999999999">
      <c r="B55" s="50">
        <v>51</v>
      </c>
      <c r="C55" s="50">
        <v>51</v>
      </c>
      <c r="D55" s="50" t="s">
        <v>495</v>
      </c>
      <c r="E55" s="50">
        <v>5000</v>
      </c>
      <c r="F55" s="50">
        <v>1</v>
      </c>
      <c r="G55" s="57" t="s">
        <v>334</v>
      </c>
      <c r="H55" s="50" t="s">
        <v>767</v>
      </c>
      <c r="I55" s="50" t="s">
        <v>260</v>
      </c>
      <c r="J55" s="50" t="s">
        <v>863</v>
      </c>
      <c r="K55" s="47">
        <v>1</v>
      </c>
      <c r="L55" s="47">
        <v>1</v>
      </c>
      <c r="M55" s="56" t="str">
        <f t="shared" si="0"/>
        <v>,(51,"바세린 리프팅 리페어 로션 450ml",5000,1,"","바세린 리프팅 리페어 로션 450ml.jpg","02","0207",1,1)</v>
      </c>
      <c r="O55" s="24" t="s">
        <v>630</v>
      </c>
      <c r="P55" s="48" t="str">
        <f t="shared" si="1"/>
        <v>"바세린 리프팅 리페어 로션 450ml.jpg"</v>
      </c>
      <c r="Q55" s="13" t="s">
        <v>17</v>
      </c>
      <c r="R55" s="48" t="str">
        <f>VLOOKUP(Q55,'상품 분류코드'!$B$33:$D$35,3,0)</f>
        <v>"02"</v>
      </c>
      <c r="S55" s="14" t="s">
        <v>861</v>
      </c>
      <c r="T55" s="48" t="str">
        <f>VLOOKUP(S55,'상품 분류코드'!$B$4:$D$31,3,0)</f>
        <v>"0207"</v>
      </c>
    </row>
    <row r="56" spans="2:20" ht="17.399999999999999">
      <c r="B56" s="50">
        <v>52</v>
      </c>
      <c r="C56" s="50">
        <v>52</v>
      </c>
      <c r="D56" s="50" t="s">
        <v>496</v>
      </c>
      <c r="E56" s="50">
        <v>11800</v>
      </c>
      <c r="F56" s="50">
        <v>1</v>
      </c>
      <c r="G56" s="57" t="s">
        <v>334</v>
      </c>
      <c r="H56" s="50" t="s">
        <v>768</v>
      </c>
      <c r="I56" s="50" t="s">
        <v>260</v>
      </c>
      <c r="J56" s="50" t="s">
        <v>261</v>
      </c>
      <c r="K56" s="47">
        <v>1</v>
      </c>
      <c r="L56" s="47">
        <v>1</v>
      </c>
      <c r="M56" s="56" t="str">
        <f t="shared" si="0"/>
        <v>,(52,"라운드랩 1025 독도 수분 워터겔 마스크 30ml",11800,1,"","라운드랩 1025 독도 수분 워터겔 마스크 30ml.jpg","02","0201",1,1)</v>
      </c>
      <c r="O56" s="21" t="s">
        <v>631</v>
      </c>
      <c r="P56" s="48" t="str">
        <f t="shared" si="1"/>
        <v>"라운드랩 1025 독도 수분 워터겔 마스크 30ml.jpg"</v>
      </c>
      <c r="Q56" s="13" t="s">
        <v>17</v>
      </c>
      <c r="R56" s="48" t="str">
        <f>VLOOKUP(Q56,'상품 분류코드'!$B$33:$D$35,3,0)</f>
        <v>"02"</v>
      </c>
      <c r="S56" s="13" t="s">
        <v>18</v>
      </c>
      <c r="T56" s="48" t="str">
        <f>VLOOKUP(S56,'상품 분류코드'!$B$4:$D$31,3,0)</f>
        <v>"0201"</v>
      </c>
    </row>
    <row r="57" spans="2:20" ht="17.399999999999999">
      <c r="B57" s="50">
        <v>53</v>
      </c>
      <c r="C57" s="50">
        <v>53</v>
      </c>
      <c r="D57" s="50" t="s">
        <v>497</v>
      </c>
      <c r="E57" s="50">
        <v>800</v>
      </c>
      <c r="F57" s="50">
        <v>10</v>
      </c>
      <c r="G57" s="57" t="s">
        <v>334</v>
      </c>
      <c r="H57" s="50" t="s">
        <v>769</v>
      </c>
      <c r="I57" s="50" t="s">
        <v>260</v>
      </c>
      <c r="J57" s="50" t="s">
        <v>261</v>
      </c>
      <c r="K57" s="47">
        <v>1</v>
      </c>
      <c r="L57" s="47">
        <v>1</v>
      </c>
      <c r="M57" s="56" t="str">
        <f t="shared" si="0"/>
        <v>,(53,"메디힐 WHP 미백수분 블랙마스크",800,10,"","메디힐 WHP 미백수분 블랙마스크.jpg","02","0201",1,1)</v>
      </c>
      <c r="O57" s="19" t="s">
        <v>632</v>
      </c>
      <c r="P57" s="48" t="str">
        <f t="shared" si="1"/>
        <v>"메디힐 WHP 미백수분 블랙마스크.jpg"</v>
      </c>
      <c r="Q57" s="13" t="s">
        <v>17</v>
      </c>
      <c r="R57" s="48" t="str">
        <f>VLOOKUP(Q57,'상품 분류코드'!$B$33:$D$35,3,0)</f>
        <v>"02"</v>
      </c>
      <c r="S57" s="13" t="s">
        <v>18</v>
      </c>
      <c r="T57" s="48" t="str">
        <f>VLOOKUP(S57,'상품 분류코드'!$B$4:$D$31,3,0)</f>
        <v>"0201"</v>
      </c>
    </row>
    <row r="58" spans="2:20" ht="17.399999999999999">
      <c r="B58" s="50">
        <v>54</v>
      </c>
      <c r="C58" s="50">
        <v>54</v>
      </c>
      <c r="D58" s="50" t="s">
        <v>498</v>
      </c>
      <c r="E58" s="50">
        <v>3500</v>
      </c>
      <c r="F58" s="50">
        <v>1</v>
      </c>
      <c r="G58" s="57" t="s">
        <v>334</v>
      </c>
      <c r="H58" s="50" t="s">
        <v>770</v>
      </c>
      <c r="I58" s="50" t="s">
        <v>260</v>
      </c>
      <c r="J58" s="50" t="s">
        <v>271</v>
      </c>
      <c r="K58" s="47">
        <v>1</v>
      </c>
      <c r="L58" s="47">
        <v>1</v>
      </c>
      <c r="M58" s="56" t="str">
        <f t="shared" si="0"/>
        <v>,(54,"니베아 맨 센서티브 쉐이빙 폼, 250ml",3500,1,"","니베아 맨 센서티브 쉐이빙 폼, 250ml.jpg","02","0304",1,1)</v>
      </c>
      <c r="O58" s="24" t="s">
        <v>633</v>
      </c>
      <c r="P58" s="48" t="str">
        <f t="shared" si="1"/>
        <v>"니베아 맨 센서티브 쉐이빙 폼, 250ml.jpg"</v>
      </c>
      <c r="Q58" s="13" t="s">
        <v>17</v>
      </c>
      <c r="R58" s="48" t="str">
        <f>VLOOKUP(Q58,'상품 분류코드'!$B$33:$D$35,3,0)</f>
        <v>"02"</v>
      </c>
      <c r="S58" s="14" t="s">
        <v>232</v>
      </c>
      <c r="T58" s="48" t="str">
        <f>VLOOKUP(S58,'상품 분류코드'!$B$4:$D$31,3,0)</f>
        <v>"0304"</v>
      </c>
    </row>
    <row r="59" spans="2:20" ht="17.399999999999999">
      <c r="B59" s="50">
        <v>55</v>
      </c>
      <c r="C59" s="50">
        <v>55</v>
      </c>
      <c r="D59" s="50" t="s">
        <v>499</v>
      </c>
      <c r="E59" s="50">
        <v>4780</v>
      </c>
      <c r="F59" s="50">
        <v>1</v>
      </c>
      <c r="G59" s="57" t="s">
        <v>334</v>
      </c>
      <c r="H59" s="50" t="s">
        <v>771</v>
      </c>
      <c r="I59" s="50" t="s">
        <v>267</v>
      </c>
      <c r="J59" s="50" t="s">
        <v>273</v>
      </c>
      <c r="K59" s="47">
        <v>1</v>
      </c>
      <c r="L59" s="47">
        <v>1</v>
      </c>
      <c r="M59" s="56" t="str">
        <f t="shared" si="0"/>
        <v>,(55,"부케가르니 나드 샴푸 시그니처 500ml",4780,1,"","부케가르니 나드 샴푸 시그니처 500ml.jpg","03","0306",1,1)</v>
      </c>
      <c r="O59" s="24" t="s">
        <v>634</v>
      </c>
      <c r="P59" s="48" t="str">
        <f t="shared" si="1"/>
        <v>"부케가르니 나드 샴푸 시그니처 500ml.jpg"</v>
      </c>
      <c r="Q59" s="26" t="s">
        <v>89</v>
      </c>
      <c r="R59" s="48" t="str">
        <f>VLOOKUP(Q59,'상품 분류코드'!$B$33:$D$35,3,0)</f>
        <v>"03"</v>
      </c>
      <c r="S59" s="14" t="s">
        <v>239</v>
      </c>
      <c r="T59" s="48" t="str">
        <f>VLOOKUP(S59,'상품 분류코드'!$B$4:$D$31,3,0)</f>
        <v>"0306"</v>
      </c>
    </row>
    <row r="60" spans="2:20" ht="17.399999999999999">
      <c r="B60" s="50">
        <v>56</v>
      </c>
      <c r="C60" s="50">
        <v>56</v>
      </c>
      <c r="D60" s="50" t="s">
        <v>500</v>
      </c>
      <c r="E60" s="50">
        <v>6910</v>
      </c>
      <c r="F60" s="50">
        <v>1</v>
      </c>
      <c r="G60" s="57" t="s">
        <v>334</v>
      </c>
      <c r="H60" s="50" t="s">
        <v>772</v>
      </c>
      <c r="I60" s="50" t="s">
        <v>260</v>
      </c>
      <c r="J60" s="50" t="s">
        <v>863</v>
      </c>
      <c r="K60" s="47">
        <v>1</v>
      </c>
      <c r="L60" s="47">
        <v>1</v>
      </c>
      <c r="M60" s="56" t="str">
        <f t="shared" si="0"/>
        <v>,(56,"비알티씨 파워 옴므 올인원 솔루션 기획세트 200ML+50ML",6910,1,"","비알티씨 파워 옴므 올인원 솔루션 기획세트 200ML+50ML.jpg","02","0207",1,1)</v>
      </c>
      <c r="O60" s="24" t="s">
        <v>635</v>
      </c>
      <c r="P60" s="48" t="str">
        <f t="shared" si="1"/>
        <v>"비알티씨 파워 옴므 올인원 솔루션 기획세트 200ML+50ML.jpg"</v>
      </c>
      <c r="Q60" s="13" t="s">
        <v>17</v>
      </c>
      <c r="R60" s="48" t="str">
        <f>VLOOKUP(Q60,'상품 분류코드'!$B$33:$D$35,3,0)</f>
        <v>"02"</v>
      </c>
      <c r="S60" s="14" t="s">
        <v>861</v>
      </c>
      <c r="T60" s="48" t="str">
        <f>VLOOKUP(S60,'상품 분류코드'!$B$4:$D$31,3,0)</f>
        <v>"0207"</v>
      </c>
    </row>
    <row r="61" spans="2:20" ht="17.399999999999999">
      <c r="B61" s="50">
        <v>57</v>
      </c>
      <c r="C61" s="50">
        <v>57</v>
      </c>
      <c r="D61" s="50" t="s">
        <v>501</v>
      </c>
      <c r="E61" s="50">
        <v>7150</v>
      </c>
      <c r="F61" s="50">
        <v>1</v>
      </c>
      <c r="G61" s="57" t="s">
        <v>334</v>
      </c>
      <c r="H61" s="50" t="s">
        <v>773</v>
      </c>
      <c r="I61" s="50" t="s">
        <v>267</v>
      </c>
      <c r="J61" s="50" t="s">
        <v>274</v>
      </c>
      <c r="K61" s="47">
        <v>1</v>
      </c>
      <c r="L61" s="47">
        <v>1</v>
      </c>
      <c r="M61" s="56" t="str">
        <f t="shared" si="0"/>
        <v>,(57,"비욘드 바디 디펜스 샤워 450ml",7150,1,"","비욘드 바디 디펜스 샤워 450ml.jpg","03","0307",1,1)</v>
      </c>
      <c r="O61" s="24" t="s">
        <v>636</v>
      </c>
      <c r="P61" s="48" t="str">
        <f t="shared" si="1"/>
        <v>"비욘드 바디 디펜스 샤워 450ml.jpg"</v>
      </c>
      <c r="Q61" s="26" t="s">
        <v>89</v>
      </c>
      <c r="R61" s="48" t="str">
        <f>VLOOKUP(Q61,'상품 분류코드'!$B$33:$D$35,3,0)</f>
        <v>"03"</v>
      </c>
      <c r="S61" s="14" t="s">
        <v>241</v>
      </c>
      <c r="T61" s="48" t="str">
        <f>VLOOKUP(S61,'상품 분류코드'!$B$4:$D$31,3,0)</f>
        <v>"0307"</v>
      </c>
    </row>
    <row r="62" spans="2:20" ht="17.399999999999999">
      <c r="B62" s="50">
        <v>58</v>
      </c>
      <c r="C62" s="50">
        <v>58</v>
      </c>
      <c r="D62" s="50" t="s">
        <v>502</v>
      </c>
      <c r="E62" s="50">
        <v>10890</v>
      </c>
      <c r="F62" s="50">
        <v>1</v>
      </c>
      <c r="G62" s="57" t="s">
        <v>334</v>
      </c>
      <c r="H62" s="50" t="s">
        <v>774</v>
      </c>
      <c r="I62" s="50" t="s">
        <v>267</v>
      </c>
      <c r="J62" s="50" t="s">
        <v>274</v>
      </c>
      <c r="K62" s="47">
        <v>1</v>
      </c>
      <c r="L62" s="47">
        <v>1</v>
      </c>
      <c r="M62" s="56" t="str">
        <f t="shared" si="0"/>
        <v>,(58,"비욘드 바디 디펜스 에멀전 450ml",10890,1,"","비욘드 바디 디펜스 에멀전 450ml.jpg","03","0307",1,1)</v>
      </c>
      <c r="O62" s="24" t="s">
        <v>637</v>
      </c>
      <c r="P62" s="48" t="str">
        <f t="shared" si="1"/>
        <v>"비욘드 바디 디펜스 에멀전 450ml.jpg"</v>
      </c>
      <c r="Q62" s="26" t="s">
        <v>89</v>
      </c>
      <c r="R62" s="48" t="str">
        <f>VLOOKUP(Q62,'상품 분류코드'!$B$33:$D$35,3,0)</f>
        <v>"03"</v>
      </c>
      <c r="S62" s="14" t="s">
        <v>241</v>
      </c>
      <c r="T62" s="48" t="str">
        <f>VLOOKUP(S62,'상품 분류코드'!$B$4:$D$31,3,0)</f>
        <v>"0307"</v>
      </c>
    </row>
    <row r="63" spans="2:20" ht="17.399999999999999">
      <c r="B63" s="50">
        <v>59</v>
      </c>
      <c r="C63" s="50">
        <v>59</v>
      </c>
      <c r="D63" s="50" t="s">
        <v>503</v>
      </c>
      <c r="E63" s="50">
        <v>6460</v>
      </c>
      <c r="F63" s="50">
        <v>1</v>
      </c>
      <c r="G63" s="57" t="s">
        <v>334</v>
      </c>
      <c r="H63" s="50" t="s">
        <v>775</v>
      </c>
      <c r="I63" s="50" t="s">
        <v>260</v>
      </c>
      <c r="J63" s="50" t="s">
        <v>263</v>
      </c>
      <c r="K63" s="47">
        <v>1</v>
      </c>
      <c r="L63" s="47">
        <v>1</v>
      </c>
      <c r="M63" s="56" t="str">
        <f t="shared" si="0"/>
        <v>,(59,"비원즈 피토 콜라겐 아이세럼스틱 15ml",6460,1,"","비원즈 피토 콜라겐 아이세럼스틱 15ml.jpg","02","0203",1,1)</v>
      </c>
      <c r="O63" s="24" t="s">
        <v>638</v>
      </c>
      <c r="P63" s="48" t="str">
        <f t="shared" si="1"/>
        <v>"비원즈 피토 콜라겐 아이세럼스틱 15ml.jpg"</v>
      </c>
      <c r="Q63" s="13" t="s">
        <v>17</v>
      </c>
      <c r="R63" s="48" t="str">
        <f>VLOOKUP(Q63,'상품 분류코드'!$B$33:$D$35,3,0)</f>
        <v>"02"</v>
      </c>
      <c r="S63" s="14" t="s">
        <v>20</v>
      </c>
      <c r="T63" s="48" t="str">
        <f>VLOOKUP(S63,'상품 분류코드'!$B$4:$D$31,3,0)</f>
        <v>"0203"</v>
      </c>
    </row>
    <row r="64" spans="2:20" ht="17.399999999999999">
      <c r="B64" s="50">
        <v>60</v>
      </c>
      <c r="C64" s="50">
        <v>60</v>
      </c>
      <c r="D64" s="50" t="s">
        <v>504</v>
      </c>
      <c r="E64" s="50">
        <v>4900</v>
      </c>
      <c r="F64" s="50">
        <v>1</v>
      </c>
      <c r="G64" s="57" t="s">
        <v>334</v>
      </c>
      <c r="H64" s="50" t="s">
        <v>776</v>
      </c>
      <c r="I64" s="50" t="s">
        <v>260</v>
      </c>
      <c r="J64" s="50" t="s">
        <v>265</v>
      </c>
      <c r="K64" s="47">
        <v>1</v>
      </c>
      <c r="L64" s="47">
        <v>1</v>
      </c>
      <c r="M64" s="56" t="str">
        <f t="shared" si="0"/>
        <v>,(60,"센카 퍼팩트 휩 페이셜 워시",4900,1,"","센카 퍼팩트 휩 페이셜 워시.jpg","02","0205",1,1)</v>
      </c>
      <c r="O64" s="19" t="s">
        <v>639</v>
      </c>
      <c r="P64" s="48" t="str">
        <f t="shared" si="1"/>
        <v>"센카 퍼팩트 휩 페이셜 워시.jpg"</v>
      </c>
      <c r="Q64" s="13" t="s">
        <v>17</v>
      </c>
      <c r="R64" s="48" t="str">
        <f>VLOOKUP(Q64,'상품 분류코드'!$B$33:$D$35,3,0)</f>
        <v>"02"</v>
      </c>
      <c r="S64" s="14" t="s">
        <v>23</v>
      </c>
      <c r="T64" s="48" t="str">
        <f>VLOOKUP(S64,'상품 분류코드'!$B$4:$D$31,3,0)</f>
        <v>"0205"</v>
      </c>
    </row>
    <row r="65" spans="2:20" ht="17.399999999999999">
      <c r="B65" s="50">
        <v>61</v>
      </c>
      <c r="C65" s="50">
        <v>61</v>
      </c>
      <c r="D65" s="50" t="s">
        <v>505</v>
      </c>
      <c r="E65" s="50">
        <v>10000</v>
      </c>
      <c r="F65" s="50">
        <v>1</v>
      </c>
      <c r="G65" s="57" t="s">
        <v>334</v>
      </c>
      <c r="H65" s="50" t="s">
        <v>777</v>
      </c>
      <c r="I65" s="50" t="s">
        <v>267</v>
      </c>
      <c r="J65" s="50" t="s">
        <v>274</v>
      </c>
      <c r="K65" s="47">
        <v>1</v>
      </c>
      <c r="L65" s="47">
        <v>1</v>
      </c>
      <c r="M65" s="56" t="str">
        <f t="shared" si="0"/>
        <v>,(61,"센텔리안 24 마데카 베리어 바디로션 500ml",10000,1,"","센텔리안 24 마데카 베리어 바디로션 500ml.jpg","03","0307",1,1)</v>
      </c>
      <c r="O65" s="24" t="s">
        <v>640</v>
      </c>
      <c r="P65" s="48" t="str">
        <f t="shared" si="1"/>
        <v>"센텔리안 24 마데카 베리어 바디로션 500ml.jpg"</v>
      </c>
      <c r="Q65" s="26" t="s">
        <v>89</v>
      </c>
      <c r="R65" s="48" t="str">
        <f>VLOOKUP(Q65,'상품 분류코드'!$B$33:$D$35,3,0)</f>
        <v>"03"</v>
      </c>
      <c r="S65" s="14" t="s">
        <v>241</v>
      </c>
      <c r="T65" s="48" t="str">
        <f>VLOOKUP(S65,'상품 분류코드'!$B$4:$D$31,3,0)</f>
        <v>"0307"</v>
      </c>
    </row>
    <row r="66" spans="2:20" ht="17.399999999999999">
      <c r="B66" s="50">
        <v>62</v>
      </c>
      <c r="C66" s="50">
        <v>62</v>
      </c>
      <c r="D66" s="50" t="s">
        <v>506</v>
      </c>
      <c r="E66" s="50">
        <v>6900</v>
      </c>
      <c r="F66" s="50">
        <v>1</v>
      </c>
      <c r="G66" s="57" t="s">
        <v>334</v>
      </c>
      <c r="H66" s="50" t="s">
        <v>778</v>
      </c>
      <c r="I66" s="50" t="s">
        <v>267</v>
      </c>
      <c r="J66" s="50" t="s">
        <v>274</v>
      </c>
      <c r="K66" s="47">
        <v>1</v>
      </c>
      <c r="L66" s="47">
        <v>1</v>
      </c>
      <c r="M66" s="56" t="str">
        <f t="shared" si="0"/>
        <v>,(62,"센텔리안 24 마데카 옴프 올인원 125ml",6900,1,"","센텔리안 24 마데카 옴프 올인원 125ml.jpg","03","0307",1,1)</v>
      </c>
      <c r="O66" s="24" t="s">
        <v>641</v>
      </c>
      <c r="P66" s="48" t="str">
        <f t="shared" si="1"/>
        <v>"센텔리안 24 마데카 옴프 올인원 125ml.jpg"</v>
      </c>
      <c r="Q66" s="26" t="s">
        <v>89</v>
      </c>
      <c r="R66" s="48" t="str">
        <f>VLOOKUP(Q66,'상품 분류코드'!$B$33:$D$35,3,0)</f>
        <v>"03"</v>
      </c>
      <c r="S66" s="14" t="s">
        <v>241</v>
      </c>
      <c r="T66" s="48" t="str">
        <f>VLOOKUP(S66,'상품 분류코드'!$B$4:$D$31,3,0)</f>
        <v>"0307"</v>
      </c>
    </row>
    <row r="67" spans="2:20" ht="17.399999999999999">
      <c r="B67" s="50">
        <v>63</v>
      </c>
      <c r="C67" s="50">
        <v>63</v>
      </c>
      <c r="D67" s="50" t="s">
        <v>507</v>
      </c>
      <c r="E67" s="50">
        <v>10900</v>
      </c>
      <c r="F67" s="50">
        <v>1</v>
      </c>
      <c r="G67" s="57" t="s">
        <v>334</v>
      </c>
      <c r="H67" s="50" t="s">
        <v>779</v>
      </c>
      <c r="I67" s="50" t="s">
        <v>260</v>
      </c>
      <c r="J67" s="50" t="s">
        <v>263</v>
      </c>
      <c r="K67" s="47">
        <v>1</v>
      </c>
      <c r="L67" s="47">
        <v>1</v>
      </c>
      <c r="M67" s="56" t="str">
        <f t="shared" si="0"/>
        <v>,(63,"센텔리안24 링클셀 코어 아이크림",10900,1,"","센텔리안24 링클셀 코어 아이크림.jpg","02","0203",1,1)</v>
      </c>
      <c r="O67" s="27" t="s">
        <v>642</v>
      </c>
      <c r="P67" s="48" t="str">
        <f t="shared" si="1"/>
        <v>"센텔리안24 링클셀 코어 아이크림.jpg"</v>
      </c>
      <c r="Q67" s="13" t="s">
        <v>17</v>
      </c>
      <c r="R67" s="48" t="str">
        <f>VLOOKUP(Q67,'상품 분류코드'!$B$33:$D$35,3,0)</f>
        <v>"02"</v>
      </c>
      <c r="S67" s="14" t="s">
        <v>20</v>
      </c>
      <c r="T67" s="48" t="str">
        <f>VLOOKUP(S67,'상품 분류코드'!$B$4:$D$31,3,0)</f>
        <v>"0203"</v>
      </c>
    </row>
    <row r="68" spans="2:20" ht="17.399999999999999">
      <c r="B68" s="50">
        <v>64</v>
      </c>
      <c r="C68" s="50">
        <v>64</v>
      </c>
      <c r="D68" s="50" t="s">
        <v>508</v>
      </c>
      <c r="E68" s="50">
        <v>8990</v>
      </c>
      <c r="F68" s="50">
        <v>1</v>
      </c>
      <c r="G68" s="57" t="s">
        <v>334</v>
      </c>
      <c r="H68" s="50" t="s">
        <v>780</v>
      </c>
      <c r="I68" s="50" t="s">
        <v>260</v>
      </c>
      <c r="J68" s="50" t="s">
        <v>264</v>
      </c>
      <c r="K68" s="47">
        <v>1</v>
      </c>
      <c r="L68" s="47">
        <v>1</v>
      </c>
      <c r="M68" s="56" t="str">
        <f t="shared" si="0"/>
        <v>,(64,"셀퓨전씨 데일리 리페어 레이저크림 50ml",8990,1,"","셀퓨전씨 데일리 리페어 레이저크림 50ml.jpg","02","0204",1,1)</v>
      </c>
      <c r="O68" s="27" t="s">
        <v>643</v>
      </c>
      <c r="P68" s="48" t="str">
        <f t="shared" si="1"/>
        <v>"셀퓨전씨 데일리 리페어 레이저크림 50ml.jpg"</v>
      </c>
      <c r="Q68" s="13" t="s">
        <v>17</v>
      </c>
      <c r="R68" s="48" t="str">
        <f>VLOOKUP(Q68,'상품 분류코드'!$B$33:$D$35,3,0)</f>
        <v>"02"</v>
      </c>
      <c r="S68" s="14" t="s">
        <v>21</v>
      </c>
      <c r="T68" s="48" t="str">
        <f>VLOOKUP(S68,'상품 분류코드'!$B$4:$D$31,3,0)</f>
        <v>"0204"</v>
      </c>
    </row>
    <row r="69" spans="2:20" ht="17.399999999999999">
      <c r="B69" s="50">
        <v>65</v>
      </c>
      <c r="C69" s="50">
        <v>65</v>
      </c>
      <c r="D69" s="50" t="s">
        <v>509</v>
      </c>
      <c r="E69" s="50">
        <v>4480</v>
      </c>
      <c r="F69" s="50">
        <v>1</v>
      </c>
      <c r="G69" s="57" t="s">
        <v>334</v>
      </c>
      <c r="H69" s="50" t="s">
        <v>781</v>
      </c>
      <c r="I69" s="50" t="s">
        <v>260</v>
      </c>
      <c r="J69" s="50" t="s">
        <v>264</v>
      </c>
      <c r="K69" s="47">
        <v>1</v>
      </c>
      <c r="L69" s="47">
        <v>1</v>
      </c>
      <c r="M69" s="56" t="str">
        <f t="shared" si="0"/>
        <v>,(65,"셀퓨젼시 카밍다운크림 35ml",4480,1,"","셀퓨젼시 카밍다운크림 35ml.jpg","02","0204",1,1)</v>
      </c>
      <c r="O69" s="24" t="s">
        <v>644</v>
      </c>
      <c r="P69" s="48" t="str">
        <f t="shared" si="1"/>
        <v>"셀퓨젼시 카밍다운크림 35ml.jpg"</v>
      </c>
      <c r="Q69" s="13" t="s">
        <v>17</v>
      </c>
      <c r="R69" s="48" t="str">
        <f>VLOOKUP(Q69,'상품 분류코드'!$B$33:$D$35,3,0)</f>
        <v>"02"</v>
      </c>
      <c r="S69" s="14" t="s">
        <v>21</v>
      </c>
      <c r="T69" s="48" t="str">
        <f>VLOOKUP(S69,'상품 분류코드'!$B$4:$D$31,3,0)</f>
        <v>"0204"</v>
      </c>
    </row>
    <row r="70" spans="2:20" ht="17.399999999999999">
      <c r="B70" s="50">
        <v>66</v>
      </c>
      <c r="C70" s="50">
        <v>66</v>
      </c>
      <c r="D70" s="50" t="s">
        <v>510</v>
      </c>
      <c r="E70" s="50">
        <v>7100</v>
      </c>
      <c r="F70" s="50">
        <v>1</v>
      </c>
      <c r="G70" s="57" t="s">
        <v>334</v>
      </c>
      <c r="H70" s="50" t="s">
        <v>782</v>
      </c>
      <c r="I70" s="50" t="s">
        <v>260</v>
      </c>
      <c r="J70" s="50" t="s">
        <v>864</v>
      </c>
      <c r="K70" s="47">
        <v>1</v>
      </c>
      <c r="L70" s="47">
        <v>1</v>
      </c>
      <c r="M70" s="56" t="str">
        <f t="shared" ref="M70:M133" si="2">_xlfn.CONCAT(IF(B70=1,"",","),"(",_xlfn.TEXTJOIN(",",TRUE,C70:L70),")")</f>
        <v>,(66,"아누아 어성초 80 수분 진정 앰플",7100,1,"","아누아 어성초 80 수분 진정 앰플.jpg","02","0208",1,1)</v>
      </c>
      <c r="O70" s="19" t="s">
        <v>645</v>
      </c>
      <c r="P70" s="48" t="str">
        <f t="shared" ref="P70:P133" si="3">_xlfn.CONCAT("""",O70,"""")</f>
        <v>"아누아 어성초 80 수분 진정 앰플.jpg"</v>
      </c>
      <c r="Q70" s="13" t="s">
        <v>17</v>
      </c>
      <c r="R70" s="48" t="str">
        <f>VLOOKUP(Q70,'상품 분류코드'!$B$33:$D$35,3,0)</f>
        <v>"02"</v>
      </c>
      <c r="S70" s="14" t="s">
        <v>870</v>
      </c>
      <c r="T70" s="48" t="str">
        <f>VLOOKUP(S70,'상품 분류코드'!$B$4:$D$31,3,0)</f>
        <v>"0208"</v>
      </c>
    </row>
    <row r="71" spans="2:20" ht="17.399999999999999">
      <c r="B71" s="50">
        <v>67</v>
      </c>
      <c r="C71" s="50">
        <v>67</v>
      </c>
      <c r="D71" s="50" t="s">
        <v>511</v>
      </c>
      <c r="E71" s="50">
        <v>10360</v>
      </c>
      <c r="F71" s="50">
        <v>1</v>
      </c>
      <c r="G71" s="57" t="s">
        <v>334</v>
      </c>
      <c r="H71" s="50" t="s">
        <v>783</v>
      </c>
      <c r="I71" s="50" t="s">
        <v>260</v>
      </c>
      <c r="J71" s="50" t="s">
        <v>863</v>
      </c>
      <c r="K71" s="47">
        <v>1</v>
      </c>
      <c r="L71" s="47">
        <v>1</v>
      </c>
      <c r="M71" s="56" t="str">
        <f t="shared" si="2"/>
        <v>,(67,"아누아 어성초70 데일리 로션 200ml",10360,1,"","아누아 어성초70 데일리 로션 200ml.jpg","02","0207",1,1)</v>
      </c>
      <c r="O71" s="19" t="s">
        <v>646</v>
      </c>
      <c r="P71" s="48" t="str">
        <f t="shared" si="3"/>
        <v>"아누아 어성초70 데일리 로션 200ml.jpg"</v>
      </c>
      <c r="Q71" s="13" t="s">
        <v>17</v>
      </c>
      <c r="R71" s="48" t="str">
        <f>VLOOKUP(Q71,'상품 분류코드'!$B$33:$D$35,3,0)</f>
        <v>"02"</v>
      </c>
      <c r="S71" s="14" t="s">
        <v>861</v>
      </c>
      <c r="T71" s="48" t="str">
        <f>VLOOKUP(S71,'상품 분류코드'!$B$4:$D$31,3,0)</f>
        <v>"0207"</v>
      </c>
    </row>
    <row r="72" spans="2:20" ht="17.399999999999999">
      <c r="B72" s="50">
        <v>68</v>
      </c>
      <c r="C72" s="50">
        <v>68</v>
      </c>
      <c r="D72" s="50" t="s">
        <v>512</v>
      </c>
      <c r="E72" s="50">
        <v>9800</v>
      </c>
      <c r="F72" s="50">
        <v>1</v>
      </c>
      <c r="G72" s="57" t="s">
        <v>334</v>
      </c>
      <c r="H72" s="50" t="s">
        <v>784</v>
      </c>
      <c r="I72" s="50" t="s">
        <v>260</v>
      </c>
      <c r="J72" s="50" t="s">
        <v>264</v>
      </c>
      <c r="K72" s="47">
        <v>1</v>
      </c>
      <c r="L72" s="47">
        <v>1</v>
      </c>
      <c r="M72" s="56" t="str">
        <f t="shared" si="2"/>
        <v>,(68,"아비브 부활초 크림 뉴트리션 튜브",9800,1,"","아비브 부활초 크림 뉴트리션 튜브.jpg","02","0204",1,1)</v>
      </c>
      <c r="O72" s="19" t="s">
        <v>647</v>
      </c>
      <c r="P72" s="48" t="str">
        <f t="shared" si="3"/>
        <v>"아비브 부활초 크림 뉴트리션 튜브.jpg"</v>
      </c>
      <c r="Q72" s="13" t="s">
        <v>17</v>
      </c>
      <c r="R72" s="48" t="str">
        <f>VLOOKUP(Q72,'상품 분류코드'!$B$33:$D$35,3,0)</f>
        <v>"02"</v>
      </c>
      <c r="S72" s="14" t="s">
        <v>21</v>
      </c>
      <c r="T72" s="48" t="str">
        <f>VLOOKUP(S72,'상품 분류코드'!$B$4:$D$31,3,0)</f>
        <v>"0204"</v>
      </c>
    </row>
    <row r="73" spans="2:20" ht="17.399999999999999">
      <c r="B73" s="50">
        <v>69</v>
      </c>
      <c r="C73" s="50">
        <v>69</v>
      </c>
      <c r="D73" s="50" t="s">
        <v>513</v>
      </c>
      <c r="E73" s="50">
        <v>1500</v>
      </c>
      <c r="F73" s="50">
        <v>10</v>
      </c>
      <c r="G73" s="57" t="s">
        <v>334</v>
      </c>
      <c r="H73" s="50" t="s">
        <v>785</v>
      </c>
      <c r="I73" s="50" t="s">
        <v>260</v>
      </c>
      <c r="J73" s="50" t="s">
        <v>261</v>
      </c>
      <c r="K73" s="47">
        <v>1</v>
      </c>
      <c r="L73" s="47">
        <v>1</v>
      </c>
      <c r="M73" s="56" t="str">
        <f t="shared" si="2"/>
        <v>,(69,"아비브 수분초 콜라겐 젤 마스크팩",1500,10,"","아비브 수분초 콜라겐 젤 마스크팩.jpg","02","0201",1,1)</v>
      </c>
      <c r="O73" s="27" t="s">
        <v>648</v>
      </c>
      <c r="P73" s="48" t="str">
        <f t="shared" si="3"/>
        <v>"아비브 수분초 콜라겐 젤 마스크팩.jpg"</v>
      </c>
      <c r="Q73" s="13" t="s">
        <v>17</v>
      </c>
      <c r="R73" s="48" t="str">
        <f>VLOOKUP(Q73,'상품 분류코드'!$B$33:$D$35,3,0)</f>
        <v>"02"</v>
      </c>
      <c r="S73" s="14" t="s">
        <v>18</v>
      </c>
      <c r="T73" s="48" t="str">
        <f>VLOOKUP(S73,'상품 분류코드'!$B$4:$D$31,3,0)</f>
        <v>"0201"</v>
      </c>
    </row>
    <row r="74" spans="2:20" ht="17.399999999999999">
      <c r="B74" s="50">
        <v>70</v>
      </c>
      <c r="C74" s="50">
        <v>70</v>
      </c>
      <c r="D74" s="50" t="s">
        <v>514</v>
      </c>
      <c r="E74" s="50">
        <v>6210</v>
      </c>
      <c r="F74" s="50">
        <v>1</v>
      </c>
      <c r="G74" s="57" t="s">
        <v>334</v>
      </c>
      <c r="H74" s="50" t="s">
        <v>786</v>
      </c>
      <c r="I74" s="50" t="s">
        <v>260</v>
      </c>
      <c r="J74" s="50" t="s">
        <v>265</v>
      </c>
      <c r="K74" s="47">
        <v>1</v>
      </c>
      <c r="L74" s="47">
        <v>1</v>
      </c>
      <c r="M74" s="56" t="str">
        <f t="shared" si="2"/>
        <v>,(70,"아비브 아크네 폼 클렌저 어성초 150ml",6210,1,"","아비브 아크네 폼 클렌저 어성초 150ml.jpg","02","0205",1,1)</v>
      </c>
      <c r="O74" s="24" t="s">
        <v>649</v>
      </c>
      <c r="P74" s="48" t="str">
        <f t="shared" si="3"/>
        <v>"아비브 아크네 폼 클렌저 어성초 150ml.jpg"</v>
      </c>
      <c r="Q74" s="13" t="s">
        <v>17</v>
      </c>
      <c r="R74" s="48" t="str">
        <f>VLOOKUP(Q74,'상품 분류코드'!$B$33:$D$35,3,0)</f>
        <v>"02"</v>
      </c>
      <c r="S74" s="14" t="s">
        <v>23</v>
      </c>
      <c r="T74" s="48" t="str">
        <f>VLOOKUP(S74,'상품 분류코드'!$B$4:$D$31,3,0)</f>
        <v>"0205"</v>
      </c>
    </row>
    <row r="75" spans="2:20" ht="17.399999999999999">
      <c r="B75" s="50">
        <v>71</v>
      </c>
      <c r="C75" s="50">
        <v>71</v>
      </c>
      <c r="D75" s="50" t="s">
        <v>515</v>
      </c>
      <c r="E75" s="50">
        <v>1000</v>
      </c>
      <c r="F75" s="50">
        <v>20</v>
      </c>
      <c r="G75" s="57" t="s">
        <v>334</v>
      </c>
      <c r="H75" s="50" t="s">
        <v>787</v>
      </c>
      <c r="I75" s="50" t="s">
        <v>260</v>
      </c>
      <c r="J75" s="50" t="s">
        <v>261</v>
      </c>
      <c r="K75" s="47">
        <v>1</v>
      </c>
      <c r="L75" s="47">
        <v>1</v>
      </c>
      <c r="M75" s="56" t="str">
        <f t="shared" si="2"/>
        <v>,(71,"아비브 약산성 pH 시트 마스크",1000,20,"","아비브 약산성 pH 시트 마스크.jpg","02","0201",1,1)</v>
      </c>
      <c r="O75" s="27" t="s">
        <v>650</v>
      </c>
      <c r="P75" s="48" t="str">
        <f t="shared" si="3"/>
        <v>"아비브 약산성 pH 시트 마스크.jpg"</v>
      </c>
      <c r="Q75" s="13" t="s">
        <v>17</v>
      </c>
      <c r="R75" s="48" t="str">
        <f>VLOOKUP(Q75,'상품 분류코드'!$B$33:$D$35,3,0)</f>
        <v>"02"</v>
      </c>
      <c r="S75" s="14" t="s">
        <v>18</v>
      </c>
      <c r="T75" s="48" t="str">
        <f>VLOOKUP(S75,'상품 분류코드'!$B$4:$D$31,3,0)</f>
        <v>"0201"</v>
      </c>
    </row>
    <row r="76" spans="2:20" ht="17.399999999999999">
      <c r="B76" s="50">
        <v>72</v>
      </c>
      <c r="C76" s="50">
        <v>72</v>
      </c>
      <c r="D76" s="50" t="s">
        <v>516</v>
      </c>
      <c r="E76" s="50">
        <v>7990</v>
      </c>
      <c r="F76" s="50">
        <v>1</v>
      </c>
      <c r="G76" s="57" t="s">
        <v>334</v>
      </c>
      <c r="H76" s="50" t="s">
        <v>788</v>
      </c>
      <c r="I76" s="50" t="s">
        <v>260</v>
      </c>
      <c r="J76" s="50" t="s">
        <v>864</v>
      </c>
      <c r="K76" s="47">
        <v>1</v>
      </c>
      <c r="L76" s="47">
        <v>1</v>
      </c>
      <c r="M76" s="56" t="str">
        <f t="shared" si="2"/>
        <v>,(72,"아비브 어성초 에센스 카밍펌프 50ml",7990,1,"","아비브 어성초 에센스 카밍펌프 50ml.jpg","02","0208",1,1)</v>
      </c>
      <c r="O76" s="24" t="s">
        <v>651</v>
      </c>
      <c r="P76" s="48" t="str">
        <f t="shared" si="3"/>
        <v>"아비브 어성초 에센스 카밍펌프 50ml.jpg"</v>
      </c>
      <c r="Q76" s="13" t="s">
        <v>17</v>
      </c>
      <c r="R76" s="48" t="str">
        <f>VLOOKUP(Q76,'상품 분류코드'!$B$33:$D$35,3,0)</f>
        <v>"02"</v>
      </c>
      <c r="S76" s="14" t="s">
        <v>870</v>
      </c>
      <c r="T76" s="48" t="str">
        <f>VLOOKUP(S76,'상품 분류코드'!$B$4:$D$31,3,0)</f>
        <v>"0208"</v>
      </c>
    </row>
    <row r="77" spans="2:20" ht="17.399999999999999">
      <c r="B77" s="50">
        <v>73</v>
      </c>
      <c r="C77" s="50">
        <v>73</v>
      </c>
      <c r="D77" s="50" t="s">
        <v>517</v>
      </c>
      <c r="E77" s="50">
        <v>9800</v>
      </c>
      <c r="F77" s="50">
        <v>1</v>
      </c>
      <c r="G77" s="57" t="s">
        <v>334</v>
      </c>
      <c r="H77" s="50" t="s">
        <v>789</v>
      </c>
      <c r="I77" s="50" t="s">
        <v>260</v>
      </c>
      <c r="J77" s="50" t="s">
        <v>264</v>
      </c>
      <c r="K77" s="47">
        <v>1</v>
      </c>
      <c r="L77" s="47">
        <v>1</v>
      </c>
      <c r="M77" s="56" t="str">
        <f t="shared" si="2"/>
        <v>,(73,"아이브 부활초 크림 뉴트리션 튜브",9800,1,"","아이브 부활초 크림 뉴트리션 튜브.jpg","02","0204",1,1)</v>
      </c>
      <c r="O77" s="19" t="s">
        <v>652</v>
      </c>
      <c r="P77" s="48" t="str">
        <f t="shared" si="3"/>
        <v>"아이브 부활초 크림 뉴트리션 튜브.jpg"</v>
      </c>
      <c r="Q77" s="13" t="s">
        <v>17</v>
      </c>
      <c r="R77" s="48" t="str">
        <f>VLOOKUP(Q77,'상품 분류코드'!$B$33:$D$35,3,0)</f>
        <v>"02"</v>
      </c>
      <c r="S77" s="14" t="s">
        <v>21</v>
      </c>
      <c r="T77" s="48" t="str">
        <f>VLOOKUP(S77,'상품 분류코드'!$B$4:$D$31,3,0)</f>
        <v>"0204"</v>
      </c>
    </row>
    <row r="78" spans="2:20" ht="17.399999999999999">
      <c r="B78" s="50">
        <v>74</v>
      </c>
      <c r="C78" s="50">
        <v>74</v>
      </c>
      <c r="D78" s="50" t="s">
        <v>518</v>
      </c>
      <c r="E78" s="50">
        <v>11390</v>
      </c>
      <c r="F78" s="50">
        <v>1</v>
      </c>
      <c r="G78" s="57" t="s">
        <v>334</v>
      </c>
      <c r="H78" s="50" t="s">
        <v>790</v>
      </c>
      <c r="I78" s="50" t="s">
        <v>260</v>
      </c>
      <c r="J78" s="50" t="s">
        <v>264</v>
      </c>
      <c r="K78" s="47">
        <v>1</v>
      </c>
      <c r="L78" s="47">
        <v>1</v>
      </c>
      <c r="M78" s="56" t="str">
        <f t="shared" si="2"/>
        <v>,(74,"아이소이 블레미쉬 케어 업 크림",11390,1,"","아이소이 블레미쉬 케어 업 크림.jpg","02","0204",1,1)</v>
      </c>
      <c r="O78" s="19" t="s">
        <v>653</v>
      </c>
      <c r="P78" s="48" t="str">
        <f t="shared" si="3"/>
        <v>"아이소이 블레미쉬 케어 업 크림.jpg"</v>
      </c>
      <c r="Q78" s="13" t="s">
        <v>17</v>
      </c>
      <c r="R78" s="48" t="str">
        <f>VLOOKUP(Q78,'상품 분류코드'!$B$33:$D$35,3,0)</f>
        <v>"02"</v>
      </c>
      <c r="S78" s="14" t="s">
        <v>21</v>
      </c>
      <c r="T78" s="48" t="str">
        <f>VLOOKUP(S78,'상품 분류코드'!$B$4:$D$31,3,0)</f>
        <v>"0204"</v>
      </c>
    </row>
    <row r="79" spans="2:20" ht="17.399999999999999">
      <c r="B79" s="50">
        <v>75</v>
      </c>
      <c r="C79" s="50">
        <v>75</v>
      </c>
      <c r="D79" s="50" t="s">
        <v>519</v>
      </c>
      <c r="E79" s="50">
        <v>11690</v>
      </c>
      <c r="F79" s="50">
        <v>1</v>
      </c>
      <c r="G79" s="57" t="s">
        <v>334</v>
      </c>
      <c r="H79" s="50" t="s">
        <v>791</v>
      </c>
      <c r="I79" s="50" t="s">
        <v>260</v>
      </c>
      <c r="J79" s="50" t="s">
        <v>255</v>
      </c>
      <c r="K79" s="47">
        <v>1</v>
      </c>
      <c r="L79" s="47">
        <v>1</v>
      </c>
      <c r="M79" s="56" t="str">
        <f t="shared" si="2"/>
        <v>,(75,"아이소이 인텐시브 리프팅 스팟 25ml",11690,1,"","아이소이 인텐시브 리프팅 스팟 25ml.jpg","02","0107",1,1)</v>
      </c>
      <c r="O79" s="24" t="s">
        <v>654</v>
      </c>
      <c r="P79" s="48" t="str">
        <f t="shared" si="3"/>
        <v>"아이소이 인텐시브 리프팅 스팟 25ml.jpg"</v>
      </c>
      <c r="Q79" s="13" t="s">
        <v>17</v>
      </c>
      <c r="R79" s="48" t="str">
        <f>VLOOKUP(Q79,'상품 분류코드'!$B$33:$D$35,3,0)</f>
        <v>"02"</v>
      </c>
      <c r="S79" s="14" t="s">
        <v>6</v>
      </c>
      <c r="T79" s="48" t="str">
        <f>VLOOKUP(S79,'상품 분류코드'!$B$4:$D$31,3,0)</f>
        <v>"0107"</v>
      </c>
    </row>
    <row r="80" spans="2:20" ht="17.399999999999999">
      <c r="B80" s="50">
        <v>76</v>
      </c>
      <c r="C80" s="50">
        <v>76</v>
      </c>
      <c r="D80" s="50" t="s">
        <v>520</v>
      </c>
      <c r="E80" s="50">
        <v>14850</v>
      </c>
      <c r="F80" s="50">
        <v>1</v>
      </c>
      <c r="G80" s="57" t="s">
        <v>334</v>
      </c>
      <c r="H80" s="50" t="s">
        <v>792</v>
      </c>
      <c r="I80" s="50" t="s">
        <v>248</v>
      </c>
      <c r="J80" s="50" t="s">
        <v>259</v>
      </c>
      <c r="K80" s="47">
        <v>1</v>
      </c>
      <c r="L80" s="47">
        <v>1</v>
      </c>
      <c r="M80" s="56" t="str">
        <f t="shared" si="2"/>
        <v>,(76,"액티브 프로 바이오틱스",14850,1,"","액티브 프로 바이오틱스.jpg","01","0111",1,1)</v>
      </c>
      <c r="O80" s="19" t="s">
        <v>655</v>
      </c>
      <c r="P80" s="48" t="str">
        <f t="shared" si="3"/>
        <v>"액티브 프로 바이오틱스.jpg"</v>
      </c>
      <c r="Q80" s="31" t="s">
        <v>11</v>
      </c>
      <c r="R80" s="48" t="str">
        <f>VLOOKUP(Q80,'상품 분류코드'!$B$33:$D$35,3,0)</f>
        <v>"01"</v>
      </c>
      <c r="S80" s="26" t="s">
        <v>278</v>
      </c>
      <c r="T80" s="48" t="str">
        <f>VLOOKUP(S80,'상품 분류코드'!$B$4:$D$31,3,0)</f>
        <v>"0111"</v>
      </c>
    </row>
    <row r="81" spans="2:20" ht="17.399999999999999">
      <c r="B81" s="50">
        <v>77</v>
      </c>
      <c r="C81" s="50">
        <v>77</v>
      </c>
      <c r="D81" s="50" t="s">
        <v>521</v>
      </c>
      <c r="E81" s="50">
        <v>6170</v>
      </c>
      <c r="F81" s="50">
        <v>1</v>
      </c>
      <c r="G81" s="57" t="s">
        <v>334</v>
      </c>
      <c r="H81" s="50" t="s">
        <v>793</v>
      </c>
      <c r="I81" s="50" t="s">
        <v>260</v>
      </c>
      <c r="J81" s="50" t="s">
        <v>255</v>
      </c>
      <c r="K81" s="47">
        <v>1</v>
      </c>
      <c r="L81" s="47">
        <v>1</v>
      </c>
      <c r="M81" s="56" t="str">
        <f t="shared" si="2"/>
        <v>,(77,"이니스프리 시카밤 40ml",6170,1,"","이니스프리 시카밤 40ml.jpg","02","0107",1,1)</v>
      </c>
      <c r="O81" s="24" t="s">
        <v>656</v>
      </c>
      <c r="P81" s="48" t="str">
        <f t="shared" si="3"/>
        <v>"이니스프리 시카밤 40ml.jpg"</v>
      </c>
      <c r="Q81" s="13" t="s">
        <v>17</v>
      </c>
      <c r="R81" s="48" t="str">
        <f>VLOOKUP(Q81,'상품 분류코드'!$B$33:$D$35,3,0)</f>
        <v>"02"</v>
      </c>
      <c r="S81" s="14" t="s">
        <v>6</v>
      </c>
      <c r="T81" s="48" t="str">
        <f>VLOOKUP(S81,'상품 분류코드'!$B$4:$D$31,3,0)</f>
        <v>"0107"</v>
      </c>
    </row>
    <row r="82" spans="2:20" ht="17.399999999999999">
      <c r="B82" s="50">
        <v>78</v>
      </c>
      <c r="C82" s="50">
        <v>78</v>
      </c>
      <c r="D82" s="50" t="s">
        <v>522</v>
      </c>
      <c r="E82" s="50">
        <v>5270</v>
      </c>
      <c r="F82" s="50">
        <v>1</v>
      </c>
      <c r="G82" s="57" t="s">
        <v>334</v>
      </c>
      <c r="H82" s="50" t="s">
        <v>794</v>
      </c>
      <c r="I82" s="50" t="s">
        <v>260</v>
      </c>
      <c r="J82" s="50" t="s">
        <v>265</v>
      </c>
      <c r="K82" s="47">
        <v>1</v>
      </c>
      <c r="L82" s="47">
        <v>1</v>
      </c>
      <c r="M82" s="56" t="str">
        <f t="shared" si="2"/>
        <v>,(78,"자민경크레마카발로 오일 투 폼 110ml(클렌징폼)",5270,1,"","자민경크레마카발로 오일 투 폼 110ml(클렌징폼).jpg","02","0205",1,1)</v>
      </c>
      <c r="O82" s="24" t="s">
        <v>657</v>
      </c>
      <c r="P82" s="48" t="str">
        <f t="shared" si="3"/>
        <v>"자민경크레마카발로 오일 투 폼 110ml(클렌징폼).jpg"</v>
      </c>
      <c r="Q82" s="13" t="s">
        <v>17</v>
      </c>
      <c r="R82" s="48" t="str">
        <f>VLOOKUP(Q82,'상품 분류코드'!$B$33:$D$35,3,0)</f>
        <v>"02"</v>
      </c>
      <c r="S82" s="14" t="s">
        <v>23</v>
      </c>
      <c r="T82" s="48" t="str">
        <f>VLOOKUP(S82,'상품 분류코드'!$B$4:$D$31,3,0)</f>
        <v>"0205"</v>
      </c>
    </row>
    <row r="83" spans="2:20" ht="17.399999999999999">
      <c r="B83" s="50">
        <v>79</v>
      </c>
      <c r="C83" s="50">
        <v>79</v>
      </c>
      <c r="D83" s="50" t="s">
        <v>523</v>
      </c>
      <c r="E83" s="50">
        <v>3890</v>
      </c>
      <c r="F83" s="50">
        <v>1</v>
      </c>
      <c r="G83" s="57" t="s">
        <v>334</v>
      </c>
      <c r="H83" s="50" t="s">
        <v>795</v>
      </c>
      <c r="I83" s="50" t="s">
        <v>260</v>
      </c>
      <c r="J83" s="50" t="s">
        <v>274</v>
      </c>
      <c r="K83" s="47">
        <v>1</v>
      </c>
      <c r="L83" s="47">
        <v>1</v>
      </c>
      <c r="M83" s="56" t="str">
        <f t="shared" si="2"/>
        <v>,(79,"해피바스 오리지널 컬렉션 바디워시 체리블로섬향, 910g",3890,1,"","해피바스 오리지널 컬렉션 바디워시 체리블로섬향, 910g.jpg","02","0307",1,1)</v>
      </c>
      <c r="O83" s="24" t="s">
        <v>658</v>
      </c>
      <c r="P83" s="48" t="str">
        <f t="shared" si="3"/>
        <v>"해피바스 오리지널 컬렉션 바디워시 체리블로섬향, 910g.jpg"</v>
      </c>
      <c r="Q83" s="13" t="s">
        <v>17</v>
      </c>
      <c r="R83" s="48" t="str">
        <f>VLOOKUP(Q83,'상품 분류코드'!$B$33:$D$35,3,0)</f>
        <v>"02"</v>
      </c>
      <c r="S83" s="14" t="s">
        <v>241</v>
      </c>
      <c r="T83" s="48" t="str">
        <f>VLOOKUP(S83,'상품 분류코드'!$B$4:$D$31,3,0)</f>
        <v>"0307"</v>
      </c>
    </row>
    <row r="84" spans="2:20" ht="17.399999999999999">
      <c r="B84" s="50">
        <v>80</v>
      </c>
      <c r="C84" s="50">
        <v>80</v>
      </c>
      <c r="D84" s="50" t="s">
        <v>524</v>
      </c>
      <c r="E84" s="50">
        <v>3140</v>
      </c>
      <c r="F84" s="50">
        <v>1</v>
      </c>
      <c r="G84" s="57" t="s">
        <v>334</v>
      </c>
      <c r="H84" s="50" t="s">
        <v>796</v>
      </c>
      <c r="I84" s="50" t="s">
        <v>248</v>
      </c>
      <c r="J84" s="50" t="s">
        <v>258</v>
      </c>
      <c r="K84" s="47">
        <v>1</v>
      </c>
      <c r="L84" s="47">
        <v>1</v>
      </c>
      <c r="M84" s="56" t="str">
        <f t="shared" si="2"/>
        <v>,(80,"청정원 프리미엄 굴소스, 500g",3140,1,"","청정원 프리미엄 굴소스, 500g.jpg","01","0110",1,1)</v>
      </c>
      <c r="O84" s="15" t="s">
        <v>659</v>
      </c>
      <c r="P84" s="48" t="str">
        <f t="shared" si="3"/>
        <v>"청정원 프리미엄 굴소스, 500g.jpg"</v>
      </c>
      <c r="Q84" s="26" t="s">
        <v>234</v>
      </c>
      <c r="R84" s="48" t="str">
        <f>VLOOKUP(Q84,'상품 분류코드'!$B$33:$D$35,3,0)</f>
        <v>"01"</v>
      </c>
      <c r="S84" s="14" t="s">
        <v>218</v>
      </c>
      <c r="T84" s="48" t="str">
        <f>VLOOKUP(S84,'상품 분류코드'!$B$4:$D$31,3,0)</f>
        <v>"0110"</v>
      </c>
    </row>
    <row r="85" spans="2:20" ht="17.399999999999999">
      <c r="B85" s="50">
        <v>81</v>
      </c>
      <c r="C85" s="50">
        <v>81</v>
      </c>
      <c r="D85" s="50" t="s">
        <v>525</v>
      </c>
      <c r="E85" s="50">
        <v>1500</v>
      </c>
      <c r="F85" s="50">
        <v>1</v>
      </c>
      <c r="G85" s="57" t="s">
        <v>334</v>
      </c>
      <c r="H85" s="50" t="s">
        <v>797</v>
      </c>
      <c r="I85" s="50" t="s">
        <v>248</v>
      </c>
      <c r="J85" s="50" t="s">
        <v>258</v>
      </c>
      <c r="K85" s="47">
        <v>1</v>
      </c>
      <c r="L85" s="47">
        <v>1</v>
      </c>
      <c r="M85" s="56" t="str">
        <f t="shared" si="2"/>
        <v>,(81,"오뚜기 가쓰오부시장국, 360ml",1500,1,"","오뚜기 가쓰오부시장국, 360ml.jpg","01","0110",1,1)</v>
      </c>
      <c r="O85" s="24" t="s">
        <v>660</v>
      </c>
      <c r="P85" s="48" t="str">
        <f t="shared" si="3"/>
        <v>"오뚜기 가쓰오부시장국, 360ml.jpg"</v>
      </c>
      <c r="Q85" s="13" t="s">
        <v>11</v>
      </c>
      <c r="R85" s="48" t="str">
        <f>VLOOKUP(Q85,'상품 분류코드'!$B$33:$D$35,3,0)</f>
        <v>"01"</v>
      </c>
      <c r="S85" s="14" t="s">
        <v>218</v>
      </c>
      <c r="T85" s="48" t="str">
        <f>VLOOKUP(S85,'상품 분류코드'!$B$4:$D$31,3,0)</f>
        <v>"0110"</v>
      </c>
    </row>
    <row r="86" spans="2:20" ht="17.399999999999999">
      <c r="B86" s="50">
        <v>82</v>
      </c>
      <c r="C86" s="50">
        <v>82</v>
      </c>
      <c r="D86" s="50" t="s">
        <v>526</v>
      </c>
      <c r="E86" s="50">
        <v>2990</v>
      </c>
      <c r="F86" s="50">
        <v>1</v>
      </c>
      <c r="G86" s="57" t="s">
        <v>334</v>
      </c>
      <c r="H86" s="50" t="s">
        <v>798</v>
      </c>
      <c r="I86" s="50" t="s">
        <v>248</v>
      </c>
      <c r="J86" s="50" t="s">
        <v>258</v>
      </c>
      <c r="K86" s="47">
        <v>1</v>
      </c>
      <c r="L86" s="47">
        <v>1</v>
      </c>
      <c r="M86" s="56" t="str">
        <f t="shared" si="2"/>
        <v>,(82,"고소한 건강 생각 참기름",2990,1,"","고소한 건강 생각 참기름.jpg","01","0110",1,1)</v>
      </c>
      <c r="O86" s="24" t="s">
        <v>661</v>
      </c>
      <c r="P86" s="48" t="str">
        <f t="shared" si="3"/>
        <v>"고소한 건강 생각 참기름.jpg"</v>
      </c>
      <c r="Q86" s="13" t="s">
        <v>11</v>
      </c>
      <c r="R86" s="48" t="str">
        <f>VLOOKUP(Q86,'상품 분류코드'!$B$33:$D$35,3,0)</f>
        <v>"01"</v>
      </c>
      <c r="S86" s="14" t="s">
        <v>218</v>
      </c>
      <c r="T86" s="48" t="str">
        <f>VLOOKUP(S86,'상품 분류코드'!$B$4:$D$31,3,0)</f>
        <v>"0110"</v>
      </c>
    </row>
    <row r="87" spans="2:20" ht="17.399999999999999">
      <c r="B87" s="50">
        <v>83</v>
      </c>
      <c r="C87" s="50">
        <v>83</v>
      </c>
      <c r="D87" s="50" t="s">
        <v>527</v>
      </c>
      <c r="E87" s="50">
        <v>530</v>
      </c>
      <c r="F87" s="50">
        <v>10</v>
      </c>
      <c r="G87" s="57" t="s">
        <v>334</v>
      </c>
      <c r="H87" s="50" t="s">
        <v>799</v>
      </c>
      <c r="I87" s="50" t="s">
        <v>248</v>
      </c>
      <c r="J87" s="50" t="s">
        <v>250</v>
      </c>
      <c r="K87" s="47">
        <v>1</v>
      </c>
      <c r="L87" s="47">
        <v>1</v>
      </c>
      <c r="M87" s="56" t="str">
        <f t="shared" si="2"/>
        <v>,(83,"까스활액",530,10,"","까스활액.jpg","01","0102",1,1)</v>
      </c>
      <c r="O87" s="21" t="s">
        <v>662</v>
      </c>
      <c r="P87" s="48" t="str">
        <f t="shared" si="3"/>
        <v>"까스활액.jpg"</v>
      </c>
      <c r="Q87" s="13" t="s">
        <v>11</v>
      </c>
      <c r="R87" s="48" t="str">
        <f>VLOOKUP(Q87,'상품 분류코드'!$B$33:$D$35,3,0)</f>
        <v>"01"</v>
      </c>
      <c r="S87" s="14" t="s">
        <v>13</v>
      </c>
      <c r="T87" s="48" t="str">
        <f>VLOOKUP(S87,'상품 분류코드'!$B$4:$D$31,3,0)</f>
        <v>"0102"</v>
      </c>
    </row>
    <row r="88" spans="2:20" ht="17.399999999999999">
      <c r="B88" s="50">
        <v>84</v>
      </c>
      <c r="C88" s="50">
        <v>84</v>
      </c>
      <c r="D88" s="50" t="s">
        <v>528</v>
      </c>
      <c r="E88" s="50">
        <v>520</v>
      </c>
      <c r="F88" s="50">
        <v>20</v>
      </c>
      <c r="G88" s="57" t="s">
        <v>334</v>
      </c>
      <c r="H88" s="50" t="s">
        <v>800</v>
      </c>
      <c r="I88" s="50" t="s">
        <v>248</v>
      </c>
      <c r="J88" s="50" t="s">
        <v>249</v>
      </c>
      <c r="K88" s="47">
        <v>1</v>
      </c>
      <c r="L88" s="47">
        <v>1</v>
      </c>
      <c r="M88" s="56" t="str">
        <f t="shared" si="2"/>
        <v>,(84,"꼬마웨하스바닐라맛",520,20,"","꼬마웨하스바닐라맛.jpg","01","0101",1,1)</v>
      </c>
      <c r="O88" s="21" t="s">
        <v>663</v>
      </c>
      <c r="P88" s="48" t="str">
        <f t="shared" si="3"/>
        <v>"꼬마웨하스바닐라맛.jpg"</v>
      </c>
      <c r="Q88" s="13" t="s">
        <v>11</v>
      </c>
      <c r="R88" s="48" t="str">
        <f>VLOOKUP(Q88,'상품 분류코드'!$B$33:$D$35,3,0)</f>
        <v>"01"</v>
      </c>
      <c r="S88" s="14" t="s">
        <v>12</v>
      </c>
      <c r="T88" s="48" t="str">
        <f>VLOOKUP(S88,'상품 분류코드'!$B$4:$D$31,3,0)</f>
        <v>"0101"</v>
      </c>
    </row>
    <row r="89" spans="2:20" ht="17.399999999999999">
      <c r="B89" s="50">
        <v>85</v>
      </c>
      <c r="C89" s="50">
        <v>85</v>
      </c>
      <c r="D89" s="50" t="s">
        <v>529</v>
      </c>
      <c r="E89" s="50">
        <v>2600</v>
      </c>
      <c r="F89" s="50">
        <v>1</v>
      </c>
      <c r="G89" s="57" t="s">
        <v>334</v>
      </c>
      <c r="H89" s="50" t="s">
        <v>801</v>
      </c>
      <c r="I89" s="50" t="s">
        <v>248</v>
      </c>
      <c r="J89" s="50" t="s">
        <v>253</v>
      </c>
      <c r="K89" s="47">
        <v>1</v>
      </c>
      <c r="L89" s="47">
        <v>1</v>
      </c>
      <c r="M89" s="56" t="str">
        <f t="shared" si="2"/>
        <v>,(85,"꽃샘 피어나다 국화 유자, 350g",2600,1,"","꽃샘 피어나다 국화 유자, 350g.jpg","01","0105",1,1)</v>
      </c>
      <c r="O89" s="24" t="s">
        <v>664</v>
      </c>
      <c r="P89" s="48" t="str">
        <f t="shared" si="3"/>
        <v>"꽃샘 피어나다 국화 유자, 350g.jpg"</v>
      </c>
      <c r="Q89" s="13" t="s">
        <v>11</v>
      </c>
      <c r="R89" s="48" t="str">
        <f>VLOOKUP(Q89,'상품 분류코드'!$B$33:$D$35,3,0)</f>
        <v>"01"</v>
      </c>
      <c r="S89" s="14" t="s">
        <v>15</v>
      </c>
      <c r="T89" s="48" t="str">
        <f>VLOOKUP(S89,'상품 분류코드'!$B$4:$D$31,3,0)</f>
        <v>"0105"</v>
      </c>
    </row>
    <row r="90" spans="2:20" ht="17.399999999999999">
      <c r="B90" s="50">
        <v>86</v>
      </c>
      <c r="C90" s="50">
        <v>86</v>
      </c>
      <c r="D90" s="50" t="s">
        <v>530</v>
      </c>
      <c r="E90" s="50">
        <v>2280</v>
      </c>
      <c r="F90" s="50">
        <v>1</v>
      </c>
      <c r="G90" s="57" t="s">
        <v>334</v>
      </c>
      <c r="H90" s="50" t="s">
        <v>802</v>
      </c>
      <c r="I90" s="50" t="s">
        <v>248</v>
      </c>
      <c r="J90" s="50" t="s">
        <v>253</v>
      </c>
      <c r="K90" s="47">
        <v>1</v>
      </c>
      <c r="L90" s="47">
        <v>1</v>
      </c>
      <c r="M90" s="56" t="str">
        <f t="shared" si="2"/>
        <v>,(86,"꽃샘 피어나다 히비스커스 자몽, 350g",2280,1,"","꽃샘 피어나다 히비스커스 자몽, 350g.jpg","01","0105",1,1)</v>
      </c>
      <c r="O90" s="24" t="s">
        <v>665</v>
      </c>
      <c r="P90" s="48" t="str">
        <f t="shared" si="3"/>
        <v>"꽃샘 피어나다 히비스커스 자몽, 350g.jpg"</v>
      </c>
      <c r="Q90" s="13" t="s">
        <v>11</v>
      </c>
      <c r="R90" s="48" t="str">
        <f>VLOOKUP(Q90,'상품 분류코드'!$B$33:$D$35,3,0)</f>
        <v>"01"</v>
      </c>
      <c r="S90" s="14" t="s">
        <v>15</v>
      </c>
      <c r="T90" s="48" t="str">
        <f>VLOOKUP(S90,'상품 분류코드'!$B$4:$D$31,3,0)</f>
        <v>"0105"</v>
      </c>
    </row>
    <row r="91" spans="2:20" ht="17.399999999999999">
      <c r="B91" s="50">
        <v>87</v>
      </c>
      <c r="C91" s="50">
        <v>87</v>
      </c>
      <c r="D91" s="50" t="s">
        <v>531</v>
      </c>
      <c r="E91" s="50">
        <v>7670</v>
      </c>
      <c r="F91" s="50">
        <v>1</v>
      </c>
      <c r="G91" s="57" t="s">
        <v>334</v>
      </c>
      <c r="H91" s="50" t="s">
        <v>803</v>
      </c>
      <c r="I91" s="50" t="s">
        <v>248</v>
      </c>
      <c r="J91" s="50" t="s">
        <v>259</v>
      </c>
      <c r="K91" s="47">
        <v>1</v>
      </c>
      <c r="L91" s="47">
        <v>1</v>
      </c>
      <c r="M91" s="56" t="str">
        <f t="shared" si="2"/>
        <v>,(87,"꿀타이밍 야생화스틱15T",7670,1,"","꿀타이밍 야생화스틱15T.jpg","01","0111",1,1)</v>
      </c>
      <c r="O91" s="19" t="s">
        <v>666</v>
      </c>
      <c r="P91" s="48" t="str">
        <f t="shared" si="3"/>
        <v>"꿀타이밍 야생화스틱15T.jpg"</v>
      </c>
      <c r="Q91" s="31" t="s">
        <v>11</v>
      </c>
      <c r="R91" s="48" t="str">
        <f>VLOOKUP(Q91,'상품 분류코드'!$B$33:$D$35,3,0)</f>
        <v>"01"</v>
      </c>
      <c r="S91" s="26" t="s">
        <v>278</v>
      </c>
      <c r="T91" s="48" t="str">
        <f>VLOOKUP(S91,'상품 분류코드'!$B$4:$D$31,3,0)</f>
        <v>"0111"</v>
      </c>
    </row>
    <row r="92" spans="2:20" ht="17.399999999999999">
      <c r="B92" s="50">
        <v>88</v>
      </c>
      <c r="C92" s="50">
        <v>88</v>
      </c>
      <c r="D92" s="50" t="s">
        <v>532</v>
      </c>
      <c r="E92" s="50">
        <v>350</v>
      </c>
      <c r="F92" s="50">
        <v>30</v>
      </c>
      <c r="G92" s="57" t="s">
        <v>334</v>
      </c>
      <c r="H92" s="50" t="s">
        <v>804</v>
      </c>
      <c r="I92" s="50" t="s">
        <v>248</v>
      </c>
      <c r="J92" s="50" t="s">
        <v>250</v>
      </c>
      <c r="K92" s="47">
        <v>1</v>
      </c>
      <c r="L92" s="47">
        <v>1</v>
      </c>
      <c r="M92" s="56" t="str">
        <f t="shared" si="2"/>
        <v>,(88,"나랑드사이다 245ml",350,30,"","나랑드사이다 245ml.jpg","01","0102",1,1)</v>
      </c>
      <c r="O92" s="19" t="s">
        <v>667</v>
      </c>
      <c r="P92" s="48" t="str">
        <f t="shared" si="3"/>
        <v>"나랑드사이다 245ml.jpg"</v>
      </c>
      <c r="Q92" s="13" t="s">
        <v>11</v>
      </c>
      <c r="R92" s="48" t="str">
        <f>VLOOKUP(Q92,'상품 분류코드'!$B$33:$D$35,3,0)</f>
        <v>"01"</v>
      </c>
      <c r="S92" s="14" t="s">
        <v>13</v>
      </c>
      <c r="T92" s="48" t="str">
        <f>VLOOKUP(S92,'상품 분류코드'!$B$4:$D$31,3,0)</f>
        <v>"0102"</v>
      </c>
    </row>
    <row r="93" spans="2:20" ht="17.399999999999999">
      <c r="B93" s="50">
        <v>89</v>
      </c>
      <c r="C93" s="50">
        <v>89</v>
      </c>
      <c r="D93" s="50" t="s">
        <v>533</v>
      </c>
      <c r="E93" s="50">
        <v>370</v>
      </c>
      <c r="F93" s="50">
        <v>30</v>
      </c>
      <c r="G93" s="57" t="s">
        <v>334</v>
      </c>
      <c r="H93" s="50" t="s">
        <v>805</v>
      </c>
      <c r="I93" s="50" t="s">
        <v>248</v>
      </c>
      <c r="J93" s="50" t="s">
        <v>250</v>
      </c>
      <c r="K93" s="47">
        <v>1</v>
      </c>
      <c r="L93" s="47">
        <v>1</v>
      </c>
      <c r="M93" s="56" t="str">
        <f t="shared" si="2"/>
        <v>,(89,"나랑드사이다 그린애플 245ml",370,30,"","나랑드사이다 그린애플 245ml.jpg","01","0102",1,1)</v>
      </c>
      <c r="O93" s="19" t="s">
        <v>668</v>
      </c>
      <c r="P93" s="48" t="str">
        <f t="shared" si="3"/>
        <v>"나랑드사이다 그린애플 245ml.jpg"</v>
      </c>
      <c r="Q93" s="13" t="s">
        <v>11</v>
      </c>
      <c r="R93" s="48" t="str">
        <f>VLOOKUP(Q93,'상품 분류코드'!$B$33:$D$35,3,0)</f>
        <v>"01"</v>
      </c>
      <c r="S93" s="14" t="s">
        <v>13</v>
      </c>
      <c r="T93" s="48" t="str">
        <f>VLOOKUP(S93,'상품 분류코드'!$B$4:$D$31,3,0)</f>
        <v>"0102"</v>
      </c>
    </row>
    <row r="94" spans="2:20" ht="17.399999999999999">
      <c r="B94" s="50">
        <v>90</v>
      </c>
      <c r="C94" s="50">
        <v>90</v>
      </c>
      <c r="D94" s="50" t="s">
        <v>534</v>
      </c>
      <c r="E94" s="50">
        <v>360</v>
      </c>
      <c r="F94" s="50">
        <v>30</v>
      </c>
      <c r="G94" s="57" t="s">
        <v>334</v>
      </c>
      <c r="H94" s="50" t="s">
        <v>806</v>
      </c>
      <c r="I94" s="50" t="s">
        <v>248</v>
      </c>
      <c r="J94" s="50" t="s">
        <v>250</v>
      </c>
      <c r="K94" s="47">
        <v>1</v>
      </c>
      <c r="L94" s="47">
        <v>1</v>
      </c>
      <c r="M94" s="56" t="str">
        <f t="shared" si="2"/>
        <v>,(90,"나랑드사이다 파인애플 245ml",360,30,"","나랑드사이다 파인애플 245ml.jpg","01","0102",1,1)</v>
      </c>
      <c r="O94" s="19" t="s">
        <v>669</v>
      </c>
      <c r="P94" s="48" t="str">
        <f t="shared" si="3"/>
        <v>"나랑드사이다 파인애플 245ml.jpg"</v>
      </c>
      <c r="Q94" s="13" t="s">
        <v>11</v>
      </c>
      <c r="R94" s="48" t="str">
        <f>VLOOKUP(Q94,'상품 분류코드'!$B$33:$D$35,3,0)</f>
        <v>"01"</v>
      </c>
      <c r="S94" s="14" t="s">
        <v>13</v>
      </c>
      <c r="T94" s="48" t="str">
        <f>VLOOKUP(S94,'상품 분류코드'!$B$4:$D$31,3,0)</f>
        <v>"0102"</v>
      </c>
    </row>
    <row r="95" spans="2:20" ht="17.399999999999999">
      <c r="B95" s="50">
        <v>91</v>
      </c>
      <c r="C95" s="50">
        <v>91</v>
      </c>
      <c r="D95" s="50" t="s">
        <v>535</v>
      </c>
      <c r="E95" s="50">
        <v>430</v>
      </c>
      <c r="F95" s="50">
        <v>30</v>
      </c>
      <c r="G95" s="57" t="s">
        <v>334</v>
      </c>
      <c r="H95" s="50" t="s">
        <v>807</v>
      </c>
      <c r="I95" s="50" t="s">
        <v>248</v>
      </c>
      <c r="J95" s="50" t="s">
        <v>250</v>
      </c>
      <c r="K95" s="47">
        <v>1</v>
      </c>
      <c r="L95" s="47">
        <v>1</v>
      </c>
      <c r="M95" s="56" t="str">
        <f t="shared" si="2"/>
        <v>,(91,"데미소다 복숭아, 250ml",430,30,"","데미소다 복숭아, 250ml.jpg","01","0102",1,1)</v>
      </c>
      <c r="O95" s="24" t="s">
        <v>670</v>
      </c>
      <c r="P95" s="48" t="str">
        <f t="shared" si="3"/>
        <v>"데미소다 복숭아, 250ml.jpg"</v>
      </c>
      <c r="Q95" s="13" t="s">
        <v>11</v>
      </c>
      <c r="R95" s="48" t="str">
        <f>VLOOKUP(Q95,'상품 분류코드'!$B$33:$D$35,3,0)</f>
        <v>"01"</v>
      </c>
      <c r="S95" s="14" t="s">
        <v>13</v>
      </c>
      <c r="T95" s="48" t="str">
        <f>VLOOKUP(S95,'상품 분류코드'!$B$4:$D$31,3,0)</f>
        <v>"0102"</v>
      </c>
    </row>
    <row r="96" spans="2:20" ht="17.399999999999999">
      <c r="B96" s="50">
        <v>92</v>
      </c>
      <c r="C96" s="50">
        <v>92</v>
      </c>
      <c r="D96" s="50" t="s">
        <v>536</v>
      </c>
      <c r="E96" s="50">
        <v>4360</v>
      </c>
      <c r="F96" s="50">
        <v>1</v>
      </c>
      <c r="G96" s="57" t="s">
        <v>334</v>
      </c>
      <c r="H96" s="50" t="s">
        <v>808</v>
      </c>
      <c r="I96" s="50" t="s">
        <v>248</v>
      </c>
      <c r="J96" s="50" t="s">
        <v>255</v>
      </c>
      <c r="K96" s="47">
        <v>1</v>
      </c>
      <c r="L96" s="47">
        <v>1</v>
      </c>
      <c r="M96" s="56" t="str">
        <f t="shared" si="2"/>
        <v>,(92,"동원참치 고추 참치 4개 90g",4360,1,"","동원참치 고추 참치 4개 90g.jpg","01","0107",1,1)</v>
      </c>
      <c r="O96" s="24" t="s">
        <v>671</v>
      </c>
      <c r="P96" s="48" t="str">
        <f t="shared" si="3"/>
        <v>"동원참치 고추 참치 4개 90g.jpg"</v>
      </c>
      <c r="Q96" s="13" t="s">
        <v>11</v>
      </c>
      <c r="R96" s="48" t="str">
        <f>VLOOKUP(Q96,'상품 분류코드'!$B$33:$D$35,3,0)</f>
        <v>"01"</v>
      </c>
      <c r="S96" s="14" t="s">
        <v>6</v>
      </c>
      <c r="T96" s="48" t="str">
        <f>VLOOKUP(S96,'상품 분류코드'!$B$4:$D$31,3,0)</f>
        <v>"0107"</v>
      </c>
    </row>
    <row r="97" spans="2:20" ht="17.399999999999999">
      <c r="B97" s="50">
        <v>93</v>
      </c>
      <c r="C97" s="50">
        <v>93</v>
      </c>
      <c r="D97" s="50" t="s">
        <v>537</v>
      </c>
      <c r="E97" s="50">
        <v>4740</v>
      </c>
      <c r="F97" s="50">
        <v>1</v>
      </c>
      <c r="G97" s="57" t="s">
        <v>334</v>
      </c>
      <c r="H97" s="50" t="s">
        <v>809</v>
      </c>
      <c r="I97" s="50" t="s">
        <v>248</v>
      </c>
      <c r="J97" s="50" t="s">
        <v>255</v>
      </c>
      <c r="K97" s="47">
        <v>1</v>
      </c>
      <c r="L97" s="47">
        <v>1</v>
      </c>
      <c r="M97" s="56" t="str">
        <f t="shared" si="2"/>
        <v>,(93,"동원참치 라이트스탠다드 4개 90g",4740,1,"","동원참치 라이트스탠다드 4개 90g.jpg","01","0107",1,1)</v>
      </c>
      <c r="O97" s="27" t="s">
        <v>672</v>
      </c>
      <c r="P97" s="48" t="str">
        <f t="shared" si="3"/>
        <v>"동원참치 라이트스탠다드 4개 90g.jpg"</v>
      </c>
      <c r="Q97" s="13" t="s">
        <v>11</v>
      </c>
      <c r="R97" s="48" t="str">
        <f>VLOOKUP(Q97,'상품 분류코드'!$B$33:$D$35,3,0)</f>
        <v>"01"</v>
      </c>
      <c r="S97" s="14" t="s">
        <v>6</v>
      </c>
      <c r="T97" s="48" t="str">
        <f>VLOOKUP(S97,'상품 분류코드'!$B$4:$D$31,3,0)</f>
        <v>"0107"</v>
      </c>
    </row>
    <row r="98" spans="2:20" ht="17.399999999999999">
      <c r="B98" s="50">
        <v>94</v>
      </c>
      <c r="C98" s="50">
        <v>94</v>
      </c>
      <c r="D98" s="50" t="s">
        <v>538</v>
      </c>
      <c r="E98" s="50">
        <v>1790</v>
      </c>
      <c r="F98" s="50">
        <v>5</v>
      </c>
      <c r="G98" s="57" t="s">
        <v>334</v>
      </c>
      <c r="H98" s="50" t="s">
        <v>810</v>
      </c>
      <c r="I98" s="50" t="s">
        <v>248</v>
      </c>
      <c r="J98" s="50" t="s">
        <v>249</v>
      </c>
      <c r="K98" s="47">
        <v>1</v>
      </c>
      <c r="L98" s="47">
        <v>1</v>
      </c>
      <c r="M98" s="56" t="str">
        <f t="shared" si="2"/>
        <v>,(94,"크라운 NEW 롱스",1790,5,"","크라운 NEW 롱스.jpg","01","0101",1,1)</v>
      </c>
      <c r="O98" s="24" t="s">
        <v>673</v>
      </c>
      <c r="P98" s="48" t="str">
        <f t="shared" si="3"/>
        <v>"크라운 NEW 롱스.jpg"</v>
      </c>
      <c r="Q98" s="13" t="s">
        <v>11</v>
      </c>
      <c r="R98" s="48" t="str">
        <f>VLOOKUP(Q98,'상품 분류코드'!$B$33:$D$35,3,0)</f>
        <v>"01"</v>
      </c>
      <c r="S98" s="14" t="s">
        <v>12</v>
      </c>
      <c r="T98" s="48" t="str">
        <f>VLOOKUP(S98,'상품 분류코드'!$B$4:$D$31,3,0)</f>
        <v>"0101"</v>
      </c>
    </row>
    <row r="99" spans="2:20" ht="17.399999999999999">
      <c r="B99" s="50">
        <v>95</v>
      </c>
      <c r="C99" s="50">
        <v>95</v>
      </c>
      <c r="D99" s="50" t="s">
        <v>539</v>
      </c>
      <c r="E99" s="50">
        <v>1100</v>
      </c>
      <c r="F99" s="50">
        <v>5</v>
      </c>
      <c r="G99" s="57" t="s">
        <v>334</v>
      </c>
      <c r="H99" s="50" t="s">
        <v>811</v>
      </c>
      <c r="I99" s="50" t="s">
        <v>248</v>
      </c>
      <c r="J99" s="50" t="s">
        <v>249</v>
      </c>
      <c r="K99" s="47">
        <v>1</v>
      </c>
      <c r="L99" s="47">
        <v>1</v>
      </c>
      <c r="M99" s="56" t="str">
        <f t="shared" si="2"/>
        <v>,(95,"몽쉘카카오케이크 6개입",1100,5,"","몽쉘카카오케이크 6개입.jpg","01","0101",1,1)</v>
      </c>
      <c r="O99" s="24" t="s">
        <v>674</v>
      </c>
      <c r="P99" s="48" t="str">
        <f t="shared" si="3"/>
        <v>"몽쉘카카오케이크 6개입.jpg"</v>
      </c>
      <c r="Q99" s="13" t="s">
        <v>11</v>
      </c>
      <c r="R99" s="48" t="str">
        <f>VLOOKUP(Q99,'상품 분류코드'!$B$33:$D$35,3,0)</f>
        <v>"01"</v>
      </c>
      <c r="S99" s="14" t="s">
        <v>12</v>
      </c>
      <c r="T99" s="48" t="str">
        <f>VLOOKUP(S99,'상품 분류코드'!$B$4:$D$31,3,0)</f>
        <v>"0101"</v>
      </c>
    </row>
    <row r="100" spans="2:20" ht="17.399999999999999">
      <c r="B100" s="50">
        <v>96</v>
      </c>
      <c r="C100" s="50">
        <v>96</v>
      </c>
      <c r="D100" s="50" t="s">
        <v>540</v>
      </c>
      <c r="E100" s="50">
        <v>400</v>
      </c>
      <c r="F100" s="50">
        <v>30</v>
      </c>
      <c r="G100" s="57" t="s">
        <v>334</v>
      </c>
      <c r="H100" s="50" t="s">
        <v>812</v>
      </c>
      <c r="I100" s="50" t="s">
        <v>248</v>
      </c>
      <c r="J100" s="50" t="s">
        <v>250</v>
      </c>
      <c r="K100" s="47">
        <v>1</v>
      </c>
      <c r="L100" s="47">
        <v>1</v>
      </c>
      <c r="M100" s="56" t="str">
        <f t="shared" si="2"/>
        <v>,(96,"밀키스제로 250ml",400,30,"","밀키스제로 250ml.jpg","01","0102",1,1)</v>
      </c>
      <c r="O100" s="24" t="s">
        <v>675</v>
      </c>
      <c r="P100" s="48" t="str">
        <f t="shared" si="3"/>
        <v>"밀키스제로 250ml.jpg"</v>
      </c>
      <c r="Q100" s="13" t="s">
        <v>11</v>
      </c>
      <c r="R100" s="48" t="str">
        <f>VLOOKUP(Q100,'상품 분류코드'!$B$33:$D$35,3,0)</f>
        <v>"01"</v>
      </c>
      <c r="S100" s="14" t="s">
        <v>13</v>
      </c>
      <c r="T100" s="48" t="str">
        <f>VLOOKUP(S100,'상품 분류코드'!$B$4:$D$31,3,0)</f>
        <v>"0102"</v>
      </c>
    </row>
    <row r="101" spans="2:20" ht="17.399999999999999">
      <c r="B101" s="50">
        <v>97</v>
      </c>
      <c r="C101" s="50">
        <v>97</v>
      </c>
      <c r="D101" s="50" t="s">
        <v>541</v>
      </c>
      <c r="E101" s="50">
        <v>500</v>
      </c>
      <c r="F101" s="50">
        <v>10</v>
      </c>
      <c r="G101" s="57" t="s">
        <v>334</v>
      </c>
      <c r="H101" s="50" t="s">
        <v>813</v>
      </c>
      <c r="I101" s="50" t="s">
        <v>248</v>
      </c>
      <c r="J101" s="50" t="s">
        <v>250</v>
      </c>
      <c r="K101" s="47">
        <v>1</v>
      </c>
      <c r="L101" s="47">
        <v>1</v>
      </c>
      <c r="M101" s="56" t="str">
        <f t="shared" si="2"/>
        <v>,(97,"박카스",500,10,"","박카스.jpg","01","0102",1,1)</v>
      </c>
      <c r="O101" s="19" t="s">
        <v>676</v>
      </c>
      <c r="P101" s="48" t="str">
        <f t="shared" si="3"/>
        <v>"박카스.jpg"</v>
      </c>
      <c r="Q101" s="13" t="s">
        <v>11</v>
      </c>
      <c r="R101" s="48" t="str">
        <f>VLOOKUP(Q101,'상품 분류코드'!$B$33:$D$35,3,0)</f>
        <v>"01"</v>
      </c>
      <c r="S101" s="14" t="s">
        <v>13</v>
      </c>
      <c r="T101" s="48" t="str">
        <f>VLOOKUP(S101,'상품 분류코드'!$B$4:$D$31,3,0)</f>
        <v>"0102"</v>
      </c>
    </row>
    <row r="102" spans="2:20" ht="17.399999999999999">
      <c r="B102" s="50">
        <v>98</v>
      </c>
      <c r="C102" s="50">
        <v>98</v>
      </c>
      <c r="D102" s="50" t="s">
        <v>542</v>
      </c>
      <c r="E102" s="50">
        <v>6900</v>
      </c>
      <c r="F102" s="50">
        <v>1</v>
      </c>
      <c r="G102" s="57" t="s">
        <v>334</v>
      </c>
      <c r="H102" s="50" t="s">
        <v>814</v>
      </c>
      <c r="I102" s="50" t="s">
        <v>267</v>
      </c>
      <c r="J102" s="50" t="s">
        <v>274</v>
      </c>
      <c r="K102" s="47">
        <v>1</v>
      </c>
      <c r="L102" s="47">
        <v>1</v>
      </c>
      <c r="M102" s="56" t="str">
        <f t="shared" si="2"/>
        <v>,(98,"더프트앤도프트 파인 프라그란스 바디미스트 핑크브리즈향, 150ml",6900,1,"","더프트앤도프트 파인 프라그란스 바디미스트 핑크브리즈향, 150ml.jpg","03","0307",1,1)</v>
      </c>
      <c r="O102" s="24" t="s">
        <v>677</v>
      </c>
      <c r="P102" s="48" t="str">
        <f t="shared" si="3"/>
        <v>"더프트앤도프트 파인 프라그란스 바디미스트 핑크브리즈향, 150ml.jpg"</v>
      </c>
      <c r="Q102" s="26" t="s">
        <v>89</v>
      </c>
      <c r="R102" s="48" t="str">
        <f>VLOOKUP(Q102,'상품 분류코드'!$B$33:$D$35,3,0)</f>
        <v>"03"</v>
      </c>
      <c r="S102" s="14" t="s">
        <v>241</v>
      </c>
      <c r="T102" s="48" t="str">
        <f>VLOOKUP(S102,'상품 분류코드'!$B$4:$D$31,3,0)</f>
        <v>"0307"</v>
      </c>
    </row>
    <row r="103" spans="2:20" ht="17.399999999999999">
      <c r="B103" s="50">
        <v>99</v>
      </c>
      <c r="C103" s="50">
        <v>99</v>
      </c>
      <c r="D103" s="50" t="s">
        <v>543</v>
      </c>
      <c r="E103" s="50">
        <v>7900</v>
      </c>
      <c r="F103" s="50">
        <v>1</v>
      </c>
      <c r="G103" s="57" t="s">
        <v>334</v>
      </c>
      <c r="H103" s="50" t="s">
        <v>815</v>
      </c>
      <c r="I103" s="50" t="s">
        <v>260</v>
      </c>
      <c r="J103" s="50" t="s">
        <v>262</v>
      </c>
      <c r="K103" s="47">
        <v>1</v>
      </c>
      <c r="L103" s="47">
        <v>1</v>
      </c>
      <c r="M103" s="56" t="str">
        <f t="shared" si="2"/>
        <v>,(99,"닥터지 그린 마일드 업 선 스틱, 20g",7900,1,"","닥터지 그린 마일드 업 선 스틱, 20g.jpg","02","0202",1,1)</v>
      </c>
      <c r="O103" s="24" t="s">
        <v>678</v>
      </c>
      <c r="P103" s="48" t="str">
        <f t="shared" si="3"/>
        <v>"닥터지 그린 마일드 업 선 스틱, 20g.jpg"</v>
      </c>
      <c r="Q103" s="13" t="s">
        <v>17</v>
      </c>
      <c r="R103" s="48" t="str">
        <f>VLOOKUP(Q103,'상품 분류코드'!$B$33:$D$35,3,0)</f>
        <v>"02"</v>
      </c>
      <c r="S103" s="13" t="s">
        <v>19</v>
      </c>
      <c r="T103" s="48" t="str">
        <f>VLOOKUP(S103,'상품 분류코드'!$B$4:$D$31,3,0)</f>
        <v>"0202"</v>
      </c>
    </row>
    <row r="104" spans="2:20" ht="17.399999999999999">
      <c r="B104" s="50">
        <v>100</v>
      </c>
      <c r="C104" s="50">
        <v>100</v>
      </c>
      <c r="D104" s="50" t="s">
        <v>544</v>
      </c>
      <c r="E104" s="50">
        <v>10800</v>
      </c>
      <c r="F104" s="50">
        <v>1</v>
      </c>
      <c r="G104" s="57" t="s">
        <v>334</v>
      </c>
      <c r="H104" s="50" t="s">
        <v>816</v>
      </c>
      <c r="I104" s="50" t="s">
        <v>260</v>
      </c>
      <c r="J104" s="50" t="s">
        <v>864</v>
      </c>
      <c r="K104" s="47">
        <v>1</v>
      </c>
      <c r="L104" s="47">
        <v>1</v>
      </c>
      <c r="M104" s="56" t="str">
        <f t="shared" si="2"/>
        <v>,(100,"닥터자르트 바이탈 하이드라 솔루션 하이드로 플럼프 트리트먼트 에센스, 150ml",10800,1,"","닥터자르트 바이탈 하이드라 솔루션 하이드로 플럼프 트리트먼트 에센스, 150ml.jpg","02","0208",1,1)</v>
      </c>
      <c r="O104" s="24" t="s">
        <v>679</v>
      </c>
      <c r="P104" s="48" t="str">
        <f t="shared" si="3"/>
        <v>"닥터자르트 바이탈 하이드라 솔루션 하이드로 플럼프 트리트먼트 에센스, 150ml.jpg"</v>
      </c>
      <c r="Q104" s="13" t="s">
        <v>17</v>
      </c>
      <c r="R104" s="48" t="str">
        <f>VLOOKUP(Q104,'상품 분류코드'!$B$33:$D$35,3,0)</f>
        <v>"02"</v>
      </c>
      <c r="S104" s="14" t="s">
        <v>870</v>
      </c>
      <c r="T104" s="48" t="str">
        <f>VLOOKUP(S104,'상품 분류코드'!$B$4:$D$31,3,0)</f>
        <v>"0208"</v>
      </c>
    </row>
    <row r="105" spans="2:20" ht="17.399999999999999">
      <c r="B105" s="50">
        <v>101</v>
      </c>
      <c r="C105" s="50">
        <v>101</v>
      </c>
      <c r="D105" s="50" t="s">
        <v>545</v>
      </c>
      <c r="E105" s="50">
        <v>5700</v>
      </c>
      <c r="F105" s="50">
        <v>1</v>
      </c>
      <c r="G105" s="57" t="s">
        <v>334</v>
      </c>
      <c r="H105" s="50" t="s">
        <v>817</v>
      </c>
      <c r="I105" s="50" t="s">
        <v>260</v>
      </c>
      <c r="J105" s="50" t="s">
        <v>864</v>
      </c>
      <c r="K105" s="47">
        <v>1</v>
      </c>
      <c r="L105" s="47">
        <v>1</v>
      </c>
      <c r="M105" s="56" t="str">
        <f t="shared" si="2"/>
        <v>,(101,"듀이트리 울트라 바이탈라이징 스네일 에센스워터, 150ml",5700,1,"","듀이트리 울트라 바이탈라이징 스네일 에센스워터, 150ml.jpg","02","0208",1,1)</v>
      </c>
      <c r="O105" s="24" t="s">
        <v>680</v>
      </c>
      <c r="P105" s="48" t="str">
        <f t="shared" si="3"/>
        <v>"듀이트리 울트라 바이탈라이징 스네일 에센스워터, 150ml.jpg"</v>
      </c>
      <c r="Q105" s="13" t="s">
        <v>17</v>
      </c>
      <c r="R105" s="48" t="str">
        <f>VLOOKUP(Q105,'상품 분류코드'!$B$33:$D$35,3,0)</f>
        <v>"02"</v>
      </c>
      <c r="S105" s="14" t="s">
        <v>870</v>
      </c>
      <c r="T105" s="48" t="str">
        <f>VLOOKUP(S105,'상품 분류코드'!$B$4:$D$31,3,0)</f>
        <v>"0208"</v>
      </c>
    </row>
    <row r="106" spans="2:20" ht="17.399999999999999">
      <c r="B106" s="50">
        <v>102</v>
      </c>
      <c r="C106" s="50">
        <v>102</v>
      </c>
      <c r="D106" s="50" t="s">
        <v>546</v>
      </c>
      <c r="E106" s="50">
        <v>40000</v>
      </c>
      <c r="F106" s="50">
        <v>1</v>
      </c>
      <c r="G106" s="57" t="s">
        <v>334</v>
      </c>
      <c r="H106" s="50" t="s">
        <v>818</v>
      </c>
      <c r="I106" s="50" t="s">
        <v>248</v>
      </c>
      <c r="J106" s="50" t="s">
        <v>259</v>
      </c>
      <c r="K106" s="47">
        <v>1</v>
      </c>
      <c r="L106" s="47">
        <v>1</v>
      </c>
      <c r="M106" s="56" t="str">
        <f t="shared" si="2"/>
        <v>,(102,"정관장 홍삼보운 40ml x 30개입",40000,1,"","정관장 홍삼보운 40ml x 30개입.jpg","01","0111",1,1)</v>
      </c>
      <c r="O106" s="24" t="s">
        <v>681</v>
      </c>
      <c r="P106" s="48" t="str">
        <f t="shared" si="3"/>
        <v>"정관장 홍삼보운 40ml x 30개입.jpg"</v>
      </c>
      <c r="Q106" s="13" t="s">
        <v>11</v>
      </c>
      <c r="R106" s="48" t="str">
        <f>VLOOKUP(Q106,'상품 분류코드'!$B$33:$D$35,3,0)</f>
        <v>"01"</v>
      </c>
      <c r="S106" s="26" t="s">
        <v>278</v>
      </c>
      <c r="T106" s="48" t="str">
        <f>VLOOKUP(S106,'상품 분류코드'!$B$4:$D$31,3,0)</f>
        <v>"0111"</v>
      </c>
    </row>
    <row r="107" spans="2:20" ht="17.399999999999999">
      <c r="B107" s="50">
        <v>103</v>
      </c>
      <c r="C107" s="50">
        <v>103</v>
      </c>
      <c r="D107" s="50" t="s">
        <v>547</v>
      </c>
      <c r="E107" s="50">
        <v>14590</v>
      </c>
      <c r="F107" s="50">
        <v>1</v>
      </c>
      <c r="G107" s="57" t="s">
        <v>334</v>
      </c>
      <c r="H107" s="50" t="s">
        <v>819</v>
      </c>
      <c r="I107" s="50" t="s">
        <v>260</v>
      </c>
      <c r="J107" s="50" t="s">
        <v>264</v>
      </c>
      <c r="K107" s="47">
        <v>1</v>
      </c>
      <c r="L107" s="47">
        <v>1</v>
      </c>
      <c r="M107" s="56" t="str">
        <f t="shared" si="2"/>
        <v>,(103,"AHC 에이치 멜라 루트 크림(AHC 기미크림)",14590,1,"","AHC 에이치 멜라 루트 크림(AHC 기미크림).jpg","02","0204",1,1)</v>
      </c>
      <c r="O107" s="19" t="s">
        <v>682</v>
      </c>
      <c r="P107" s="48" t="str">
        <f t="shared" si="3"/>
        <v>"AHC 에이치 멜라 루트 크림(AHC 기미크림).jpg"</v>
      </c>
      <c r="Q107" s="13" t="s">
        <v>17</v>
      </c>
      <c r="R107" s="48" t="str">
        <f>VLOOKUP(Q107,'상품 분류코드'!$B$33:$D$35,3,0)</f>
        <v>"02"</v>
      </c>
      <c r="S107" s="13" t="s">
        <v>21</v>
      </c>
      <c r="T107" s="48" t="str">
        <f>VLOOKUP(S107,'상품 분류코드'!$B$4:$D$31,3,0)</f>
        <v>"0204"</v>
      </c>
    </row>
    <row r="108" spans="2:20" ht="17.399999999999999">
      <c r="B108" s="50">
        <v>104</v>
      </c>
      <c r="C108" s="50">
        <v>104</v>
      </c>
      <c r="D108" s="50" t="s">
        <v>548</v>
      </c>
      <c r="E108" s="50">
        <v>10080</v>
      </c>
      <c r="F108" s="50">
        <v>1</v>
      </c>
      <c r="G108" s="57" t="s">
        <v>334</v>
      </c>
      <c r="H108" s="50" t="s">
        <v>820</v>
      </c>
      <c r="I108" s="50" t="s">
        <v>260</v>
      </c>
      <c r="J108" s="50" t="s">
        <v>264</v>
      </c>
      <c r="K108" s="47">
        <v>1</v>
      </c>
      <c r="L108" s="47">
        <v>1</v>
      </c>
      <c r="M108" s="56" t="str">
        <f t="shared" si="2"/>
        <v>,(104,"닥터지 블랙 스네일크림, 50ml",10080,1,"","닥터지 블랙 스네일크림, 50ml.jpg","02","0204",1,1)</v>
      </c>
      <c r="O108" s="24" t="s">
        <v>683</v>
      </c>
      <c r="P108" s="48" t="str">
        <f t="shared" si="3"/>
        <v>"닥터지 블랙 스네일크림, 50ml.jpg"</v>
      </c>
      <c r="Q108" s="13" t="s">
        <v>17</v>
      </c>
      <c r="R108" s="48" t="str">
        <f>VLOOKUP(Q108,'상품 분류코드'!$B$33:$D$35,3,0)</f>
        <v>"02"</v>
      </c>
      <c r="S108" s="13" t="s">
        <v>21</v>
      </c>
      <c r="T108" s="48" t="str">
        <f>VLOOKUP(S108,'상품 분류코드'!$B$4:$D$31,3,0)</f>
        <v>"0204"</v>
      </c>
    </row>
    <row r="109" spans="2:20" ht="17.399999999999999">
      <c r="B109" s="50">
        <v>105</v>
      </c>
      <c r="C109" s="50">
        <v>105</v>
      </c>
      <c r="D109" s="50" t="s">
        <v>549</v>
      </c>
      <c r="E109" s="50">
        <v>11100</v>
      </c>
      <c r="F109" s="50">
        <v>1</v>
      </c>
      <c r="G109" s="57" t="s">
        <v>334</v>
      </c>
      <c r="H109" s="50" t="s">
        <v>821</v>
      </c>
      <c r="I109" s="50" t="s">
        <v>260</v>
      </c>
      <c r="J109" s="50" t="s">
        <v>264</v>
      </c>
      <c r="K109" s="47">
        <v>1</v>
      </c>
      <c r="L109" s="47">
        <v>1</v>
      </c>
      <c r="M109" s="56" t="str">
        <f t="shared" si="2"/>
        <v>,(105,"닥터지 더모이스처 배리어 D 로션, 200ml",11100,1,"","닥터지 더모이스처 배리어 D 로션, 200ml.jpg","02","0204",1,1)</v>
      </c>
      <c r="O109" s="24" t="s">
        <v>684</v>
      </c>
      <c r="P109" s="48" t="str">
        <f t="shared" si="3"/>
        <v>"닥터지 더모이스처 배리어 D 로션, 200ml.jpg"</v>
      </c>
      <c r="Q109" s="13" t="s">
        <v>17</v>
      </c>
      <c r="R109" s="48" t="str">
        <f>VLOOKUP(Q109,'상품 분류코드'!$B$33:$D$35,3,0)</f>
        <v>"02"</v>
      </c>
      <c r="S109" s="13" t="s">
        <v>21</v>
      </c>
      <c r="T109" s="48" t="str">
        <f>VLOOKUP(S109,'상품 분류코드'!$B$4:$D$31,3,0)</f>
        <v>"0204"</v>
      </c>
    </row>
    <row r="110" spans="2:20" ht="17.399999999999999">
      <c r="B110" s="50">
        <v>106</v>
      </c>
      <c r="C110" s="50">
        <v>106</v>
      </c>
      <c r="D110" s="50" t="s">
        <v>550</v>
      </c>
      <c r="E110" s="50">
        <v>6770</v>
      </c>
      <c r="F110" s="50">
        <v>1</v>
      </c>
      <c r="G110" s="57" t="s">
        <v>334</v>
      </c>
      <c r="H110" s="50" t="s">
        <v>822</v>
      </c>
      <c r="I110" s="50" t="s">
        <v>260</v>
      </c>
      <c r="J110" s="50" t="s">
        <v>264</v>
      </c>
      <c r="K110" s="47">
        <v>1</v>
      </c>
      <c r="L110" s="47">
        <v>1</v>
      </c>
      <c r="M110" s="56" t="str">
        <f t="shared" si="2"/>
        <v>,(106,"닥터지 레드 블레미쉬 클리어 크림, 70ml",6770,1,"","닥터지 레드 블레미쉬 클리어 크림, 70ml.jpg","02","0204",1,1)</v>
      </c>
      <c r="O110" s="27" t="s">
        <v>685</v>
      </c>
      <c r="P110" s="48" t="str">
        <f t="shared" si="3"/>
        <v>"닥터지 레드 블레미쉬 클리어 크림, 70ml.jpg"</v>
      </c>
      <c r="Q110" s="13" t="s">
        <v>17</v>
      </c>
      <c r="R110" s="48" t="str">
        <f>VLOOKUP(Q110,'상품 분류코드'!$B$33:$D$35,3,0)</f>
        <v>"02"</v>
      </c>
      <c r="S110" s="13" t="s">
        <v>21</v>
      </c>
      <c r="T110" s="48" t="str">
        <f>VLOOKUP(S110,'상품 분류코드'!$B$4:$D$31,3,0)</f>
        <v>"0204"</v>
      </c>
    </row>
    <row r="111" spans="2:20" ht="17.399999999999999">
      <c r="B111" s="50">
        <v>107</v>
      </c>
      <c r="C111" s="50">
        <v>107</v>
      </c>
      <c r="D111" s="50" t="s">
        <v>551</v>
      </c>
      <c r="E111" s="50">
        <v>21400</v>
      </c>
      <c r="F111" s="50">
        <v>1</v>
      </c>
      <c r="G111" s="57" t="s">
        <v>334</v>
      </c>
      <c r="H111" s="50" t="s">
        <v>823</v>
      </c>
      <c r="I111" s="50" t="s">
        <v>260</v>
      </c>
      <c r="J111" s="50" t="s">
        <v>264</v>
      </c>
      <c r="K111" s="47">
        <v>1</v>
      </c>
      <c r="L111" s="47">
        <v>1</v>
      </c>
      <c r="M111" s="56" t="str">
        <f t="shared" si="2"/>
        <v>,(107,"닥터지 로얄 블랙 스네일 탄력 스페셜 세트 (에센스 + 크림 + 아이크림 + 마스크팩)",21400,1,"","닥터지 로얄 블랙 스네일 탄력 스페셜 세트 (에센스 + 크림 + 아이크림 + 마스크팩).jpg","02","0204",1,1)</v>
      </c>
      <c r="O111" s="24" t="s">
        <v>686</v>
      </c>
      <c r="P111" s="48" t="str">
        <f t="shared" si="3"/>
        <v>"닥터지 로얄 블랙 스네일 탄력 스페셜 세트 (에센스 + 크림 + 아이크림 + 마스크팩).jpg"</v>
      </c>
      <c r="Q111" s="13" t="s">
        <v>17</v>
      </c>
      <c r="R111" s="48" t="str">
        <f>VLOOKUP(Q111,'상품 분류코드'!$B$33:$D$35,3,0)</f>
        <v>"02"</v>
      </c>
      <c r="S111" s="13" t="s">
        <v>21</v>
      </c>
      <c r="T111" s="48" t="str">
        <f>VLOOKUP(S111,'상품 분류코드'!$B$4:$D$31,3,0)</f>
        <v>"0204"</v>
      </c>
    </row>
    <row r="112" spans="2:20" ht="17.399999999999999">
      <c r="B112" s="50">
        <v>108</v>
      </c>
      <c r="C112" s="50">
        <v>108</v>
      </c>
      <c r="D112" s="50" t="s">
        <v>552</v>
      </c>
      <c r="E112" s="50">
        <v>21010</v>
      </c>
      <c r="F112" s="50">
        <v>1</v>
      </c>
      <c r="G112" s="57" t="s">
        <v>334</v>
      </c>
      <c r="H112" s="50" t="s">
        <v>824</v>
      </c>
      <c r="I112" s="50" t="s">
        <v>260</v>
      </c>
      <c r="J112" s="50" t="s">
        <v>264</v>
      </c>
      <c r="K112" s="47">
        <v>1</v>
      </c>
      <c r="L112" s="47">
        <v>1</v>
      </c>
      <c r="M112" s="56" t="str">
        <f t="shared" si="2"/>
        <v>,(108,"듀이트리 울트라 바이탈라이징 스네일 달팽이 3종 세트",21010,1,"","듀이트리 울트라 바이탈라이징 스네일 달팽이 3종 세트.jpg","02","0204",1,1)</v>
      </c>
      <c r="O112" s="19" t="s">
        <v>687</v>
      </c>
      <c r="P112" s="48" t="str">
        <f t="shared" si="3"/>
        <v>"듀이트리 울트라 바이탈라이징 스네일 달팽이 3종 세트.jpg"</v>
      </c>
      <c r="Q112" s="13" t="s">
        <v>17</v>
      </c>
      <c r="R112" s="48" t="str">
        <f>VLOOKUP(Q112,'상품 분류코드'!$B$33:$D$35,3,0)</f>
        <v>"02"</v>
      </c>
      <c r="S112" s="13" t="s">
        <v>21</v>
      </c>
      <c r="T112" s="48" t="str">
        <f>VLOOKUP(S112,'상품 분류코드'!$B$4:$D$31,3,0)</f>
        <v>"0204"</v>
      </c>
    </row>
    <row r="113" spans="2:20" ht="17.399999999999999">
      <c r="B113" s="50">
        <v>109</v>
      </c>
      <c r="C113" s="50">
        <v>109</v>
      </c>
      <c r="D113" s="50" t="s">
        <v>553</v>
      </c>
      <c r="E113" s="50">
        <v>9880</v>
      </c>
      <c r="F113" s="50">
        <v>1</v>
      </c>
      <c r="G113" s="57" t="s">
        <v>334</v>
      </c>
      <c r="H113" s="50" t="s">
        <v>825</v>
      </c>
      <c r="I113" s="50" t="s">
        <v>260</v>
      </c>
      <c r="J113" s="50" t="s">
        <v>264</v>
      </c>
      <c r="K113" s="47">
        <v>1</v>
      </c>
      <c r="L113" s="47">
        <v>1</v>
      </c>
      <c r="M113" s="56" t="str">
        <f t="shared" si="2"/>
        <v>,(109,"듀이트리 울트라 바이탈라이징 스네일 크림 80ml+샘플 10ml",9880,1,"","듀이트리 울트라 바이탈라이징 스네일 크림 80ml+샘플 10ml.jpg","02","0204",1,1)</v>
      </c>
      <c r="O113" s="24" t="s">
        <v>688</v>
      </c>
      <c r="P113" s="48" t="str">
        <f t="shared" si="3"/>
        <v>"듀이트리 울트라 바이탈라이징 스네일 크림 80ml+샘플 10ml.jpg"</v>
      </c>
      <c r="Q113" s="13" t="s">
        <v>17</v>
      </c>
      <c r="R113" s="48" t="str">
        <f>VLOOKUP(Q113,'상품 분류코드'!$B$33:$D$35,3,0)</f>
        <v>"02"</v>
      </c>
      <c r="S113" s="13" t="s">
        <v>21</v>
      </c>
      <c r="T113" s="48" t="str">
        <f>VLOOKUP(S113,'상품 분류코드'!$B$4:$D$31,3,0)</f>
        <v>"0204"</v>
      </c>
    </row>
    <row r="114" spans="2:20" ht="17.399999999999999">
      <c r="B114" s="50">
        <v>110</v>
      </c>
      <c r="C114" s="50">
        <v>110</v>
      </c>
      <c r="D114" s="50" t="s">
        <v>554</v>
      </c>
      <c r="E114" s="50">
        <v>10200</v>
      </c>
      <c r="F114" s="50">
        <v>1</v>
      </c>
      <c r="G114" s="57" t="s">
        <v>334</v>
      </c>
      <c r="H114" s="50" t="s">
        <v>826</v>
      </c>
      <c r="I114" s="50" t="s">
        <v>260</v>
      </c>
      <c r="J114" s="50" t="s">
        <v>264</v>
      </c>
      <c r="K114" s="47">
        <v>1</v>
      </c>
      <c r="L114" s="47">
        <v>1</v>
      </c>
      <c r="M114" s="56" t="str">
        <f t="shared" si="2"/>
        <v>,(110,"라운드랩 약콩 판테놀 크림, 80ml",10200,1,"","라운드랩 약콩 판테놀 크림, 80ml.jpg","02","0204",1,1)</v>
      </c>
      <c r="O114" s="24" t="s">
        <v>689</v>
      </c>
      <c r="P114" s="48" t="str">
        <f t="shared" si="3"/>
        <v>"라운드랩 약콩 판테놀 크림, 80ml.jpg"</v>
      </c>
      <c r="Q114" s="13" t="s">
        <v>17</v>
      </c>
      <c r="R114" s="48" t="str">
        <f>VLOOKUP(Q114,'상품 분류코드'!$B$33:$D$35,3,0)</f>
        <v>"02"</v>
      </c>
      <c r="S114" s="13" t="s">
        <v>21</v>
      </c>
      <c r="T114" s="48" t="str">
        <f>VLOOKUP(S114,'상품 분류코드'!$B$4:$D$31,3,0)</f>
        <v>"0204"</v>
      </c>
    </row>
    <row r="115" spans="2:20" ht="17.399999999999999">
      <c r="B115" s="50">
        <v>111</v>
      </c>
      <c r="C115" s="50">
        <v>111</v>
      </c>
      <c r="D115" s="50" t="s">
        <v>555</v>
      </c>
      <c r="E115" s="50">
        <v>2220</v>
      </c>
      <c r="F115" s="50">
        <v>1</v>
      </c>
      <c r="G115" s="57" t="s">
        <v>334</v>
      </c>
      <c r="H115" s="50" t="s">
        <v>827</v>
      </c>
      <c r="I115" s="50" t="s">
        <v>248</v>
      </c>
      <c r="J115" s="50" t="s">
        <v>253</v>
      </c>
      <c r="K115" s="47">
        <v>1</v>
      </c>
      <c r="L115" s="47">
        <v>1</v>
      </c>
      <c r="M115" s="56" t="str">
        <f t="shared" si="2"/>
        <v>,(111,"제주앤팜 레몬차 스틱 10p",2220,1,"","제주앤팜 레몬차 스틱 10p.jpg","01","0105",1,1)</v>
      </c>
      <c r="O115" s="24" t="s">
        <v>690</v>
      </c>
      <c r="P115" s="48" t="str">
        <f t="shared" si="3"/>
        <v>"제주앤팜 레몬차 스틱 10p.jpg"</v>
      </c>
      <c r="Q115" s="13" t="s">
        <v>11</v>
      </c>
      <c r="R115" s="48" t="str">
        <f>VLOOKUP(Q115,'상품 분류코드'!$B$33:$D$35,3,0)</f>
        <v>"01"</v>
      </c>
      <c r="S115" s="13" t="s">
        <v>15</v>
      </c>
      <c r="T115" s="48" t="str">
        <f>VLOOKUP(S115,'상품 분류코드'!$B$4:$D$31,3,0)</f>
        <v>"0105"</v>
      </c>
    </row>
    <row r="116" spans="2:20" ht="17.399999999999999">
      <c r="B116" s="50">
        <v>112</v>
      </c>
      <c r="C116" s="50">
        <v>112</v>
      </c>
      <c r="D116" s="50" t="s">
        <v>556</v>
      </c>
      <c r="E116" s="50">
        <v>2990</v>
      </c>
      <c r="F116" s="50">
        <v>1</v>
      </c>
      <c r="G116" s="57" t="s">
        <v>334</v>
      </c>
      <c r="H116" s="50" t="s">
        <v>828</v>
      </c>
      <c r="I116" s="50" t="s">
        <v>248</v>
      </c>
      <c r="J116" s="50" t="s">
        <v>253</v>
      </c>
      <c r="K116" s="47">
        <v>1</v>
      </c>
      <c r="L116" s="47">
        <v>1</v>
      </c>
      <c r="M116" s="56" t="str">
        <f t="shared" si="2"/>
        <v>,(112,"제주앤팜 한라봉차 10p",2990,1,"","제주앤팜 한라봉차 10p.jpg","01","0105",1,1)</v>
      </c>
      <c r="O116" s="27" t="s">
        <v>691</v>
      </c>
      <c r="P116" s="48" t="str">
        <f t="shared" si="3"/>
        <v>"제주앤팜 한라봉차 10p.jpg"</v>
      </c>
      <c r="Q116" s="13" t="s">
        <v>11</v>
      </c>
      <c r="R116" s="48" t="str">
        <f>VLOOKUP(Q116,'상품 분류코드'!$B$33:$D$35,3,0)</f>
        <v>"01"</v>
      </c>
      <c r="S116" s="13" t="s">
        <v>15</v>
      </c>
      <c r="T116" s="48" t="str">
        <f>VLOOKUP(S116,'상품 분류코드'!$B$4:$D$31,3,0)</f>
        <v>"0105"</v>
      </c>
    </row>
    <row r="117" spans="2:20" ht="17.399999999999999">
      <c r="B117" s="50">
        <v>113</v>
      </c>
      <c r="C117" s="50">
        <v>113</v>
      </c>
      <c r="D117" s="50" t="s">
        <v>557</v>
      </c>
      <c r="E117" s="50">
        <v>560</v>
      </c>
      <c r="F117" s="50">
        <v>20</v>
      </c>
      <c r="G117" s="57" t="s">
        <v>334</v>
      </c>
      <c r="H117" s="50" t="s">
        <v>829</v>
      </c>
      <c r="I117" s="50" t="s">
        <v>248</v>
      </c>
      <c r="J117" s="50" t="s">
        <v>254</v>
      </c>
      <c r="K117" s="47">
        <v>1</v>
      </c>
      <c r="L117" s="47">
        <v>1</v>
      </c>
      <c r="M117" s="56" t="str">
        <f t="shared" si="2"/>
        <v>,(113,"이클립스 쿨링 소프트 캔디 레몬민트향 45g",560,20,"","이클립스 쿨링 소프트 캔디 레몬민트향 45g.jpg","01","0106",1,1)</v>
      </c>
      <c r="O117" s="24" t="s">
        <v>692</v>
      </c>
      <c r="P117" s="48" t="str">
        <f t="shared" si="3"/>
        <v>"이클립스 쿨링 소프트 캔디 레몬민트향 45g.jpg"</v>
      </c>
      <c r="Q117" s="33" t="s">
        <v>11</v>
      </c>
      <c r="R117" s="48" t="str">
        <f>VLOOKUP(Q117,'상품 분류코드'!$B$33:$D$35,3,0)</f>
        <v>"01"</v>
      </c>
      <c r="S117" s="33" t="s">
        <v>16</v>
      </c>
      <c r="T117" s="48" t="str">
        <f>VLOOKUP(S117,'상품 분류코드'!$B$4:$D$31,3,0)</f>
        <v>"0106"</v>
      </c>
    </row>
    <row r="118" spans="2:20" ht="17.399999999999999">
      <c r="B118" s="50">
        <v>114</v>
      </c>
      <c r="C118" s="50">
        <v>114</v>
      </c>
      <c r="D118" s="50" t="s">
        <v>558</v>
      </c>
      <c r="E118" s="50">
        <v>9000</v>
      </c>
      <c r="F118" s="50">
        <v>1</v>
      </c>
      <c r="G118" s="57" t="s">
        <v>334</v>
      </c>
      <c r="H118" s="50" t="s">
        <v>830</v>
      </c>
      <c r="I118" s="50" t="s">
        <v>260</v>
      </c>
      <c r="J118" s="50" t="s">
        <v>266</v>
      </c>
      <c r="K118" s="47">
        <v>1</v>
      </c>
      <c r="L118" s="47">
        <v>1</v>
      </c>
      <c r="M118" s="56" t="str">
        <f t="shared" si="2"/>
        <v>,(114,"라운드랩 1025 독도 토너 대용량, 500ml",9000,1,"","라운드랩 1025 독도 토너 대용량, 500ml.jpg","02","0206",1,1)</v>
      </c>
      <c r="O118" s="19" t="s">
        <v>693</v>
      </c>
      <c r="P118" s="48" t="str">
        <f t="shared" si="3"/>
        <v>"라운드랩 1025 독도 토너 대용량, 500ml.jpg"</v>
      </c>
      <c r="Q118" s="13" t="s">
        <v>17</v>
      </c>
      <c r="R118" s="48" t="str">
        <f>VLOOKUP(Q118,'상품 분류코드'!$B$33:$D$35,3,0)</f>
        <v>"02"</v>
      </c>
      <c r="S118" s="13" t="s">
        <v>279</v>
      </c>
      <c r="T118" s="48" t="str">
        <f>VLOOKUP(S118,'상품 분류코드'!$B$4:$D$31,3,0)</f>
        <v>"0206"</v>
      </c>
    </row>
    <row r="119" spans="2:20" ht="17.399999999999999">
      <c r="B119" s="50">
        <v>115</v>
      </c>
      <c r="C119" s="50">
        <v>115</v>
      </c>
      <c r="D119" s="50" t="s">
        <v>559</v>
      </c>
      <c r="E119" s="50">
        <v>3750</v>
      </c>
      <c r="F119" s="50">
        <v>1</v>
      </c>
      <c r="G119" s="57" t="s">
        <v>334</v>
      </c>
      <c r="H119" s="50" t="s">
        <v>831</v>
      </c>
      <c r="I119" s="50" t="s">
        <v>260</v>
      </c>
      <c r="J119" s="50" t="s">
        <v>265</v>
      </c>
      <c r="K119" s="47">
        <v>1</v>
      </c>
      <c r="L119" s="47">
        <v>1</v>
      </c>
      <c r="M119" s="56" t="str">
        <f t="shared" si="2"/>
        <v>,(115,"마녀공장 퓨리파잉 소다폼, 150ml",3750,1,"","마녀공장 퓨리파잉 소다폼, 150ml.jpg","02","0205",1,1)</v>
      </c>
      <c r="O119" s="24" t="s">
        <v>694</v>
      </c>
      <c r="P119" s="48" t="str">
        <f t="shared" si="3"/>
        <v>"마녀공장 퓨리파잉 소다폼, 150ml.jpg"</v>
      </c>
      <c r="Q119" s="13" t="s">
        <v>17</v>
      </c>
      <c r="R119" s="48" t="str">
        <f>VLOOKUP(Q119,'상품 분류코드'!$B$33:$D$35,3,0)</f>
        <v>"02"</v>
      </c>
      <c r="S119" s="13" t="s">
        <v>23</v>
      </c>
      <c r="T119" s="48" t="str">
        <f>VLOOKUP(S119,'상품 분류코드'!$B$4:$D$31,3,0)</f>
        <v>"0205"</v>
      </c>
    </row>
    <row r="120" spans="2:20" ht="17.399999999999999">
      <c r="B120" s="50">
        <v>116</v>
      </c>
      <c r="C120" s="50">
        <v>116</v>
      </c>
      <c r="D120" s="50" t="s">
        <v>560</v>
      </c>
      <c r="E120" s="50">
        <v>3950</v>
      </c>
      <c r="F120" s="50">
        <v>1</v>
      </c>
      <c r="G120" s="57" t="s">
        <v>334</v>
      </c>
      <c r="H120" s="50" t="s">
        <v>832</v>
      </c>
      <c r="I120" s="50" t="s">
        <v>248</v>
      </c>
      <c r="J120" s="50" t="s">
        <v>258</v>
      </c>
      <c r="K120" s="47">
        <v>1</v>
      </c>
      <c r="L120" s="47">
        <v>1</v>
      </c>
      <c r="M120" s="56" t="str">
        <f t="shared" si="2"/>
        <v>,(116,"백설 자일로스 설탕 1kg",3950,1,"","백설 자일로스 설탕 1kg.jpg","01","0110",1,1)</v>
      </c>
      <c r="O120" s="24" t="s">
        <v>695</v>
      </c>
      <c r="P120" s="48" t="str">
        <f t="shared" si="3"/>
        <v>"백설 자일로스 설탕 1kg.jpg"</v>
      </c>
      <c r="Q120" s="13" t="s">
        <v>11</v>
      </c>
      <c r="R120" s="48" t="str">
        <f>VLOOKUP(Q120,'상품 분류코드'!$B$33:$D$35,3,0)</f>
        <v>"01"</v>
      </c>
      <c r="S120" s="14" t="s">
        <v>218</v>
      </c>
      <c r="T120" s="48" t="str">
        <f>VLOOKUP(S120,'상품 분류코드'!$B$4:$D$31,3,0)</f>
        <v>"0110"</v>
      </c>
    </row>
    <row r="121" spans="2:20" ht="17.399999999999999">
      <c r="B121" s="50">
        <v>117</v>
      </c>
      <c r="C121" s="50">
        <v>117</v>
      </c>
      <c r="D121" s="50" t="s">
        <v>561</v>
      </c>
      <c r="E121" s="50">
        <v>1800</v>
      </c>
      <c r="F121" s="50">
        <v>1</v>
      </c>
      <c r="G121" s="57" t="s">
        <v>334</v>
      </c>
      <c r="H121" s="50" t="s">
        <v>833</v>
      </c>
      <c r="I121" s="50" t="s">
        <v>248</v>
      </c>
      <c r="J121" s="50" t="s">
        <v>258</v>
      </c>
      <c r="K121" s="47">
        <v>1</v>
      </c>
      <c r="L121" s="47">
        <v>1</v>
      </c>
      <c r="M121" s="56" t="str">
        <f t="shared" si="2"/>
        <v>,(117,"백설 찍어먹는 트러플 솔트 50g",1800,1,"","백설 찍어먹는 트러플 솔트 50g.jpg","01","0110",1,1)</v>
      </c>
      <c r="O121" s="27" t="s">
        <v>696</v>
      </c>
      <c r="P121" s="48" t="str">
        <f t="shared" si="3"/>
        <v>"백설 찍어먹는 트러플 솔트 50g.jpg"</v>
      </c>
      <c r="Q121" s="13" t="s">
        <v>11</v>
      </c>
      <c r="R121" s="48" t="str">
        <f>VLOOKUP(Q121,'상품 분류코드'!$B$33:$D$35,3,0)</f>
        <v>"01"</v>
      </c>
      <c r="S121" s="14" t="s">
        <v>218</v>
      </c>
      <c r="T121" s="48" t="str">
        <f>VLOOKUP(S121,'상품 분류코드'!$B$4:$D$31,3,0)</f>
        <v>"0110"</v>
      </c>
    </row>
    <row r="122" spans="2:20" ht="17.399999999999999">
      <c r="B122" s="50">
        <v>118</v>
      </c>
      <c r="C122" s="50">
        <v>118</v>
      </c>
      <c r="D122" s="50" t="s">
        <v>562</v>
      </c>
      <c r="E122" s="50">
        <v>4350</v>
      </c>
      <c r="F122" s="50">
        <v>1</v>
      </c>
      <c r="G122" s="57" t="s">
        <v>334</v>
      </c>
      <c r="H122" s="50" t="s">
        <v>834</v>
      </c>
      <c r="I122" s="50" t="s">
        <v>248</v>
      </c>
      <c r="J122" s="50" t="s">
        <v>252</v>
      </c>
      <c r="K122" s="47">
        <v>1</v>
      </c>
      <c r="L122" s="47">
        <v>1</v>
      </c>
      <c r="M122" s="56" t="str">
        <f t="shared" si="2"/>
        <v>,(118,"봉편촌메밀국수2호 850g",4350,1,"","봉편촌메밀국수2호 850g.jpg","01","0104",1,1)</v>
      </c>
      <c r="O122" s="24" t="s">
        <v>697</v>
      </c>
      <c r="P122" s="48" t="str">
        <f t="shared" si="3"/>
        <v>"봉편촌메밀국수2호 850g.jpg"</v>
      </c>
      <c r="Q122" s="13" t="s">
        <v>11</v>
      </c>
      <c r="R122" s="48" t="str">
        <f>VLOOKUP(Q122,'상품 분류코드'!$B$33:$D$35,3,0)</f>
        <v>"01"</v>
      </c>
      <c r="S122" s="14" t="s">
        <v>224</v>
      </c>
      <c r="T122" s="48" t="str">
        <f>VLOOKUP(S122,'상품 분류코드'!$B$4:$D$31,3,0)</f>
        <v>"0104"</v>
      </c>
    </row>
    <row r="123" spans="2:20" ht="17.399999999999999">
      <c r="B123" s="50">
        <v>119</v>
      </c>
      <c r="C123" s="50">
        <v>119</v>
      </c>
      <c r="D123" s="50" t="s">
        <v>563</v>
      </c>
      <c r="E123" s="50">
        <v>780</v>
      </c>
      <c r="F123" s="50">
        <v>10</v>
      </c>
      <c r="G123" s="57" t="s">
        <v>334</v>
      </c>
      <c r="H123" s="50" t="s">
        <v>835</v>
      </c>
      <c r="I123" s="50" t="s">
        <v>248</v>
      </c>
      <c r="J123" s="50" t="s">
        <v>249</v>
      </c>
      <c r="K123" s="47">
        <v>1</v>
      </c>
      <c r="L123" s="47">
        <v>1</v>
      </c>
      <c r="M123" s="56" t="str">
        <f t="shared" si="2"/>
        <v>,(119,"빼빼로 오리지널",780,10,"","빼빼로 오리지널.jpg","01","0101",1,1)</v>
      </c>
      <c r="O123" s="24" t="s">
        <v>698</v>
      </c>
      <c r="P123" s="48" t="str">
        <f t="shared" si="3"/>
        <v>"빼빼로 오리지널.jpg"</v>
      </c>
      <c r="Q123" s="13" t="s">
        <v>11</v>
      </c>
      <c r="R123" s="48" t="str">
        <f>VLOOKUP(Q123,'상품 분류코드'!$B$33:$D$35,3,0)</f>
        <v>"01"</v>
      </c>
      <c r="S123" s="14" t="s">
        <v>12</v>
      </c>
      <c r="T123" s="48" t="str">
        <f>VLOOKUP(S123,'상품 분류코드'!$B$4:$D$31,3,0)</f>
        <v>"0101"</v>
      </c>
    </row>
    <row r="124" spans="2:20" ht="17.399999999999999">
      <c r="B124" s="50">
        <v>120</v>
      </c>
      <c r="C124" s="50">
        <v>120</v>
      </c>
      <c r="D124" s="50" t="s">
        <v>564</v>
      </c>
      <c r="E124" s="50">
        <v>4600</v>
      </c>
      <c r="F124" s="50">
        <v>1</v>
      </c>
      <c r="G124" s="57" t="s">
        <v>334</v>
      </c>
      <c r="H124" s="50" t="s">
        <v>836</v>
      </c>
      <c r="I124" s="50" t="s">
        <v>248</v>
      </c>
      <c r="J124" s="50" t="s">
        <v>249</v>
      </c>
      <c r="K124" s="47">
        <v>1</v>
      </c>
      <c r="L124" s="47">
        <v>1</v>
      </c>
      <c r="M124" s="56" t="str">
        <f t="shared" si="2"/>
        <v>,(120,"스페셜k 오리지날 480g",4600,1,"","스페셜k 오리지날 480g.jpg","01","0101",1,1)</v>
      </c>
      <c r="O124" s="24" t="s">
        <v>699</v>
      </c>
      <c r="P124" s="48" t="str">
        <f t="shared" si="3"/>
        <v>"스페셜k 오리지날 480g.jpg"</v>
      </c>
      <c r="Q124" s="13" t="s">
        <v>11</v>
      </c>
      <c r="R124" s="48" t="str">
        <f>VLOOKUP(Q124,'상품 분류코드'!$B$33:$D$35,3,0)</f>
        <v>"01"</v>
      </c>
      <c r="S124" s="14" t="s">
        <v>12</v>
      </c>
      <c r="T124" s="48" t="str">
        <f>VLOOKUP(S124,'상품 분류코드'!$B$4:$D$31,3,0)</f>
        <v>"0101"</v>
      </c>
    </row>
    <row r="125" spans="2:20" ht="17.399999999999999">
      <c r="B125" s="50">
        <v>121</v>
      </c>
      <c r="C125" s="50">
        <v>121</v>
      </c>
      <c r="D125" s="50" t="s">
        <v>565</v>
      </c>
      <c r="E125" s="50">
        <v>630</v>
      </c>
      <c r="F125" s="50">
        <v>10</v>
      </c>
      <c r="G125" s="57" t="s">
        <v>334</v>
      </c>
      <c r="H125" s="50" t="s">
        <v>837</v>
      </c>
      <c r="I125" s="50" t="s">
        <v>248</v>
      </c>
      <c r="J125" s="50" t="s">
        <v>249</v>
      </c>
      <c r="K125" s="47">
        <v>1</v>
      </c>
      <c r="L125" s="47">
        <v>1</v>
      </c>
      <c r="M125" s="56" t="str">
        <f t="shared" si="2"/>
        <v>,(121,"아몬드 빼빼로",630,10,"","아몬드 빼빼로.jpg","01","0101",1,1)</v>
      </c>
      <c r="O125" s="19" t="s">
        <v>700</v>
      </c>
      <c r="P125" s="48" t="str">
        <f t="shared" si="3"/>
        <v>"아몬드 빼빼로.jpg"</v>
      </c>
      <c r="Q125" s="13" t="s">
        <v>11</v>
      </c>
      <c r="R125" s="48" t="str">
        <f>VLOOKUP(Q125,'상품 분류코드'!$B$33:$D$35,3,0)</f>
        <v>"01"</v>
      </c>
      <c r="S125" s="14" t="s">
        <v>12</v>
      </c>
      <c r="T125" s="48" t="str">
        <f>VLOOKUP(S125,'상품 분류코드'!$B$4:$D$31,3,0)</f>
        <v>"0101"</v>
      </c>
    </row>
    <row r="126" spans="2:20" ht="17.399999999999999">
      <c r="B126" s="50">
        <v>122</v>
      </c>
      <c r="C126" s="50">
        <v>122</v>
      </c>
      <c r="D126" s="50" t="s">
        <v>566</v>
      </c>
      <c r="E126" s="50">
        <v>660</v>
      </c>
      <c r="F126" s="50">
        <v>10</v>
      </c>
      <c r="G126" s="57" t="s">
        <v>334</v>
      </c>
      <c r="H126" s="50" t="s">
        <v>838</v>
      </c>
      <c r="I126" s="50" t="s">
        <v>248</v>
      </c>
      <c r="J126" s="50" t="s">
        <v>249</v>
      </c>
      <c r="K126" s="47">
        <v>1</v>
      </c>
      <c r="L126" s="47">
        <v>1</v>
      </c>
      <c r="M126" s="56" t="str">
        <f t="shared" si="2"/>
        <v>,(122,"아몬드초코볼",660,10,"","아몬드초코볼.jpg","01","0101",1,1)</v>
      </c>
      <c r="O126" s="19" t="s">
        <v>701</v>
      </c>
      <c r="P126" s="48" t="str">
        <f t="shared" si="3"/>
        <v>"아몬드초코볼.jpg"</v>
      </c>
      <c r="Q126" s="13" t="s">
        <v>11</v>
      </c>
      <c r="R126" s="48" t="str">
        <f>VLOOKUP(Q126,'상품 분류코드'!$B$33:$D$35,3,0)</f>
        <v>"01"</v>
      </c>
      <c r="S126" s="14" t="s">
        <v>12</v>
      </c>
      <c r="T126" s="48" t="str">
        <f>VLOOKUP(S126,'상품 분류코드'!$B$4:$D$31,3,0)</f>
        <v>"0101"</v>
      </c>
    </row>
    <row r="127" spans="2:20" ht="17.399999999999999">
      <c r="B127" s="50">
        <v>123</v>
      </c>
      <c r="C127" s="50">
        <v>123</v>
      </c>
      <c r="D127" s="50" t="s">
        <v>567</v>
      </c>
      <c r="E127" s="50">
        <v>4690</v>
      </c>
      <c r="F127" s="50">
        <v>1</v>
      </c>
      <c r="G127" s="57" t="s">
        <v>334</v>
      </c>
      <c r="H127" s="50" t="s">
        <v>839</v>
      </c>
      <c r="I127" s="50" t="s">
        <v>248</v>
      </c>
      <c r="J127" s="50" t="s">
        <v>249</v>
      </c>
      <c r="K127" s="47">
        <v>1</v>
      </c>
      <c r="L127" s="47">
        <v>1</v>
      </c>
      <c r="M127" s="56" t="str">
        <f t="shared" si="2"/>
        <v>,(123,"아몬드푸레이크",4690,1,"","아몬드푸레이크.jpg","01","0101",1,1)</v>
      </c>
      <c r="O127" s="19" t="s">
        <v>702</v>
      </c>
      <c r="P127" s="48" t="str">
        <f t="shared" si="3"/>
        <v>"아몬드푸레이크.jpg"</v>
      </c>
      <c r="Q127" s="13" t="s">
        <v>11</v>
      </c>
      <c r="R127" s="48" t="str">
        <f>VLOOKUP(Q127,'상품 분류코드'!$B$33:$D$35,3,0)</f>
        <v>"01"</v>
      </c>
      <c r="S127" s="14" t="s">
        <v>12</v>
      </c>
      <c r="T127" s="48" t="str">
        <f>VLOOKUP(S127,'상품 분류코드'!$B$4:$D$31,3,0)</f>
        <v>"0101"</v>
      </c>
    </row>
    <row r="128" spans="2:20" ht="17.399999999999999">
      <c r="B128" s="50">
        <v>124</v>
      </c>
      <c r="C128" s="50">
        <v>124</v>
      </c>
      <c r="D128" s="50" t="s">
        <v>568</v>
      </c>
      <c r="E128" s="50">
        <v>630</v>
      </c>
      <c r="F128" s="50">
        <v>10</v>
      </c>
      <c r="G128" s="57" t="s">
        <v>334</v>
      </c>
      <c r="H128" s="50" t="s">
        <v>840</v>
      </c>
      <c r="I128" s="50" t="s">
        <v>248</v>
      </c>
      <c r="J128" s="50" t="s">
        <v>252</v>
      </c>
      <c r="K128" s="47">
        <v>1</v>
      </c>
      <c r="L128" s="47">
        <v>1</v>
      </c>
      <c r="M128" s="56" t="str">
        <f t="shared" si="2"/>
        <v>,(124,"안성탕면",630,10,"","안성탕면.jpg","01","0104",1,1)</v>
      </c>
      <c r="O128" s="19" t="s">
        <v>703</v>
      </c>
      <c r="P128" s="48" t="str">
        <f t="shared" si="3"/>
        <v>"안성탕면.jpg"</v>
      </c>
      <c r="Q128" s="13" t="s">
        <v>11</v>
      </c>
      <c r="R128" s="48" t="str">
        <f>VLOOKUP(Q128,'상품 분류코드'!$B$33:$D$35,3,0)</f>
        <v>"01"</v>
      </c>
      <c r="S128" s="14" t="s">
        <v>224</v>
      </c>
      <c r="T128" s="48" t="str">
        <f>VLOOKUP(S128,'상품 분류코드'!$B$4:$D$31,3,0)</f>
        <v>"0104"</v>
      </c>
    </row>
    <row r="129" spans="2:20" ht="17.399999999999999">
      <c r="B129" s="50">
        <v>125</v>
      </c>
      <c r="C129" s="50">
        <v>125</v>
      </c>
      <c r="D129" s="50" t="s">
        <v>569</v>
      </c>
      <c r="E129" s="50">
        <v>2640</v>
      </c>
      <c r="F129" s="50">
        <v>5</v>
      </c>
      <c r="G129" s="57" t="s">
        <v>334</v>
      </c>
      <c r="H129" s="50" t="s">
        <v>841</v>
      </c>
      <c r="I129" s="50" t="s">
        <v>248</v>
      </c>
      <c r="J129" s="50" t="s">
        <v>249</v>
      </c>
      <c r="K129" s="47">
        <v>1</v>
      </c>
      <c r="L129" s="47">
        <v>1</v>
      </c>
      <c r="M129" s="56" t="str">
        <f t="shared" si="2"/>
        <v>,(125,"엄마손파이",2640,5,"","엄마손파이.jpg","01","0101",1,1)</v>
      </c>
      <c r="O129" s="19" t="s">
        <v>704</v>
      </c>
      <c r="P129" s="48" t="str">
        <f t="shared" si="3"/>
        <v>"엄마손파이.jpg"</v>
      </c>
      <c r="Q129" s="13" t="s">
        <v>11</v>
      </c>
      <c r="R129" s="48" t="str">
        <f>VLOOKUP(Q129,'상품 분류코드'!$B$33:$D$35,3,0)</f>
        <v>"01"</v>
      </c>
      <c r="S129" s="14" t="s">
        <v>12</v>
      </c>
      <c r="T129" s="48" t="str">
        <f>VLOOKUP(S129,'상품 분류코드'!$B$4:$D$31,3,0)</f>
        <v>"0101"</v>
      </c>
    </row>
    <row r="130" spans="2:20" ht="17.399999999999999">
      <c r="B130" s="50">
        <v>126</v>
      </c>
      <c r="C130" s="50">
        <v>126</v>
      </c>
      <c r="D130" s="50" t="s">
        <v>570</v>
      </c>
      <c r="E130" s="50">
        <v>2340</v>
      </c>
      <c r="F130" s="50">
        <v>1</v>
      </c>
      <c r="G130" s="57" t="s">
        <v>334</v>
      </c>
      <c r="H130" s="50" t="s">
        <v>842</v>
      </c>
      <c r="I130" s="50" t="s">
        <v>248</v>
      </c>
      <c r="J130" s="50" t="s">
        <v>249</v>
      </c>
      <c r="K130" s="47">
        <v>1</v>
      </c>
      <c r="L130" s="47">
        <v>1</v>
      </c>
      <c r="M130" s="56" t="str">
        <f t="shared" si="2"/>
        <v>,(126,"졸음번쩍껌 울트라파워",2340,1,"","졸음번쩍껌 울트라파워.jpg","01","0101",1,1)</v>
      </c>
      <c r="O130" s="19" t="s">
        <v>705</v>
      </c>
      <c r="P130" s="48" t="str">
        <f t="shared" si="3"/>
        <v>"졸음번쩍껌 울트라파워.jpg"</v>
      </c>
      <c r="Q130" s="13" t="s">
        <v>11</v>
      </c>
      <c r="R130" s="48" t="str">
        <f>VLOOKUP(Q130,'상품 분류코드'!$B$33:$D$35,3,0)</f>
        <v>"01"</v>
      </c>
      <c r="S130" s="14" t="s">
        <v>12</v>
      </c>
      <c r="T130" s="48" t="str">
        <f>VLOOKUP(S130,'상품 분류코드'!$B$4:$D$31,3,0)</f>
        <v>"0101"</v>
      </c>
    </row>
    <row r="131" spans="2:20" ht="17.399999999999999">
      <c r="B131" s="50">
        <v>127</v>
      </c>
      <c r="C131" s="50">
        <v>127</v>
      </c>
      <c r="D131" s="50" t="s">
        <v>571</v>
      </c>
      <c r="E131" s="50">
        <v>2390</v>
      </c>
      <c r="F131" s="50">
        <v>1</v>
      </c>
      <c r="G131" s="57" t="s">
        <v>334</v>
      </c>
      <c r="H131" s="50" t="s">
        <v>843</v>
      </c>
      <c r="I131" s="50" t="s">
        <v>248</v>
      </c>
      <c r="J131" s="50" t="s">
        <v>258</v>
      </c>
      <c r="K131" s="47">
        <v>1</v>
      </c>
      <c r="L131" s="47">
        <v>1</v>
      </c>
      <c r="M131" s="56" t="str">
        <f t="shared" si="2"/>
        <v>,(127,"짜파게티 만능소스 280g",2390,1,"","짜파게티 만능소스 280g.jpg","01","0110",1,1)</v>
      </c>
      <c r="O131" s="24" t="s">
        <v>706</v>
      </c>
      <c r="P131" s="48" t="str">
        <f t="shared" si="3"/>
        <v>"짜파게티 만능소스 280g.jpg"</v>
      </c>
      <c r="Q131" s="13" t="s">
        <v>11</v>
      </c>
      <c r="R131" s="48" t="str">
        <f>VLOOKUP(Q131,'상품 분류코드'!$B$33:$D$35,3,0)</f>
        <v>"01"</v>
      </c>
      <c r="S131" s="14" t="s">
        <v>218</v>
      </c>
      <c r="T131" s="48" t="str">
        <f>VLOOKUP(S131,'상품 분류코드'!$B$4:$D$31,3,0)</f>
        <v>"0110"</v>
      </c>
    </row>
    <row r="132" spans="2:20" ht="17.399999999999999">
      <c r="B132" s="50">
        <v>128</v>
      </c>
      <c r="C132" s="50">
        <v>128</v>
      </c>
      <c r="D132" s="50" t="s">
        <v>572</v>
      </c>
      <c r="E132" s="50">
        <v>4080</v>
      </c>
      <c r="F132" s="50">
        <v>1</v>
      </c>
      <c r="G132" s="57" t="s">
        <v>334</v>
      </c>
      <c r="H132" s="50" t="s">
        <v>844</v>
      </c>
      <c r="I132" s="50" t="s">
        <v>248</v>
      </c>
      <c r="J132" s="50" t="s">
        <v>249</v>
      </c>
      <c r="K132" s="47">
        <v>1</v>
      </c>
      <c r="L132" s="47">
        <v>1</v>
      </c>
      <c r="M132" s="56" t="str">
        <f t="shared" si="2"/>
        <v>,(128,"첵스초코 570g",4080,1,"","첵스초코 570g.jpg","01","0101",1,1)</v>
      </c>
      <c r="O132" s="24" t="s">
        <v>707</v>
      </c>
      <c r="P132" s="48" t="str">
        <f t="shared" si="3"/>
        <v>"첵스초코 570g.jpg"</v>
      </c>
      <c r="Q132" s="13" t="s">
        <v>11</v>
      </c>
      <c r="R132" s="48" t="str">
        <f>VLOOKUP(Q132,'상품 분류코드'!$B$33:$D$35,3,0)</f>
        <v>"01"</v>
      </c>
      <c r="S132" s="14" t="s">
        <v>12</v>
      </c>
      <c r="T132" s="48" t="str">
        <f>VLOOKUP(S132,'상품 분류코드'!$B$4:$D$31,3,0)</f>
        <v>"0101"</v>
      </c>
    </row>
    <row r="133" spans="2:20" ht="17.399999999999999">
      <c r="B133" s="50">
        <v>129</v>
      </c>
      <c r="C133" s="50">
        <v>129</v>
      </c>
      <c r="D133" s="50" t="s">
        <v>573</v>
      </c>
      <c r="E133" s="50">
        <v>2120</v>
      </c>
      <c r="F133" s="50">
        <v>5</v>
      </c>
      <c r="G133" s="57" t="s">
        <v>334</v>
      </c>
      <c r="H133" s="50" t="s">
        <v>845</v>
      </c>
      <c r="I133" s="50" t="s">
        <v>248</v>
      </c>
      <c r="J133" s="50" t="s">
        <v>249</v>
      </c>
      <c r="K133" s="47">
        <v>1</v>
      </c>
      <c r="L133" s="47">
        <v>1</v>
      </c>
      <c r="M133" s="56" t="str">
        <f t="shared" si="2"/>
        <v>,(129,"초코틴인틴",2120,5,"","초코틴인틴.jpg","01","0101",1,1)</v>
      </c>
      <c r="O133" s="19" t="s">
        <v>708</v>
      </c>
      <c r="P133" s="48" t="str">
        <f t="shared" si="3"/>
        <v>"초코틴인틴.jpg"</v>
      </c>
      <c r="Q133" s="13" t="s">
        <v>11</v>
      </c>
      <c r="R133" s="48" t="str">
        <f>VLOOKUP(Q133,'상품 분류코드'!$B$33:$D$35,3,0)</f>
        <v>"01"</v>
      </c>
      <c r="S133" s="14" t="s">
        <v>12</v>
      </c>
      <c r="T133" s="48" t="str">
        <f>VLOOKUP(S133,'상품 분류코드'!$B$4:$D$31,3,0)</f>
        <v>"0101"</v>
      </c>
    </row>
    <row r="134" spans="2:20" ht="17.399999999999999">
      <c r="B134" s="50">
        <v>130</v>
      </c>
      <c r="C134" s="50">
        <v>130</v>
      </c>
      <c r="D134" s="50" t="s">
        <v>574</v>
      </c>
      <c r="E134" s="50">
        <v>2850</v>
      </c>
      <c r="F134" s="50">
        <v>1</v>
      </c>
      <c r="G134" s="57" t="s">
        <v>334</v>
      </c>
      <c r="H134" s="50" t="s">
        <v>846</v>
      </c>
      <c r="I134" s="50" t="s">
        <v>248</v>
      </c>
      <c r="J134" s="50" t="s">
        <v>249</v>
      </c>
      <c r="K134" s="47">
        <v>1</v>
      </c>
      <c r="L134" s="47">
        <v>1</v>
      </c>
      <c r="M134" s="56" t="str">
        <f t="shared" ref="M134:M178" si="4">_xlfn.CONCAT(IF(B134=1,"",","),"(",_xlfn.TEXTJOIN(",",TRUE,C134:L134),")")</f>
        <v>,(130,"오리온 초코파이 정 468g",2850,1,"","오리온 초코파이 정 468g.jpg","01","0101",1,1)</v>
      </c>
      <c r="O134" s="24" t="s">
        <v>709</v>
      </c>
      <c r="P134" s="48" t="str">
        <f t="shared" ref="P134:P178" si="5">_xlfn.CONCAT("""",O134,"""")</f>
        <v>"오리온 초코파이 정 468g.jpg"</v>
      </c>
      <c r="Q134" s="13" t="s">
        <v>11</v>
      </c>
      <c r="R134" s="48" t="str">
        <f>VLOOKUP(Q134,'상품 분류코드'!$B$33:$D$35,3,0)</f>
        <v>"01"</v>
      </c>
      <c r="S134" s="14" t="s">
        <v>12</v>
      </c>
      <c r="T134" s="48" t="str">
        <f>VLOOKUP(S134,'상품 분류코드'!$B$4:$D$31,3,0)</f>
        <v>"0101"</v>
      </c>
    </row>
    <row r="135" spans="2:20" ht="17.399999999999999">
      <c r="B135" s="50">
        <v>131</v>
      </c>
      <c r="C135" s="50">
        <v>131</v>
      </c>
      <c r="D135" s="50" t="s">
        <v>575</v>
      </c>
      <c r="E135" s="50">
        <v>420</v>
      </c>
      <c r="F135" s="50">
        <v>30</v>
      </c>
      <c r="G135" s="57" t="s">
        <v>334</v>
      </c>
      <c r="H135" s="50" t="s">
        <v>847</v>
      </c>
      <c r="I135" s="50" t="s">
        <v>248</v>
      </c>
      <c r="J135" s="50" t="s">
        <v>250</v>
      </c>
      <c r="K135" s="47">
        <v>1</v>
      </c>
      <c r="L135" s="47">
        <v>1</v>
      </c>
      <c r="M135" s="56" t="str">
        <f t="shared" si="4"/>
        <v>,(131,"칠성사이다제로(250ml)",420,30,"","칠성사이다제로(250ml).jpg","01","0102",1,1)</v>
      </c>
      <c r="O135" s="19" t="s">
        <v>710</v>
      </c>
      <c r="P135" s="48" t="str">
        <f t="shared" si="5"/>
        <v>"칠성사이다제로(250ml).jpg"</v>
      </c>
      <c r="Q135" s="13" t="s">
        <v>11</v>
      </c>
      <c r="R135" s="48" t="str">
        <f>VLOOKUP(Q135,'상품 분류코드'!$B$33:$D$35,3,0)</f>
        <v>"01"</v>
      </c>
      <c r="S135" s="14" t="s">
        <v>13</v>
      </c>
      <c r="T135" s="48" t="str">
        <f>VLOOKUP(S135,'상품 분류코드'!$B$4:$D$31,3,0)</f>
        <v>"0102"</v>
      </c>
    </row>
    <row r="136" spans="2:20" ht="17.399999999999999">
      <c r="B136" s="50">
        <v>132</v>
      </c>
      <c r="C136" s="50">
        <v>132</v>
      </c>
      <c r="D136" s="50" t="s">
        <v>576</v>
      </c>
      <c r="E136" s="50">
        <v>770</v>
      </c>
      <c r="F136" s="50">
        <v>20</v>
      </c>
      <c r="G136" s="57" t="s">
        <v>334</v>
      </c>
      <c r="H136" s="50" t="s">
        <v>848</v>
      </c>
      <c r="I136" s="50" t="s">
        <v>248</v>
      </c>
      <c r="J136" s="50" t="s">
        <v>250</v>
      </c>
      <c r="K136" s="47">
        <v>1</v>
      </c>
      <c r="L136" s="47">
        <v>1</v>
      </c>
      <c r="M136" s="56" t="str">
        <f t="shared" si="4"/>
        <v>,(132,"칠성사이다제로(500ml)",770,20,"","칠성사이다제로(500ml).jpg","01","0102",1,1)</v>
      </c>
      <c r="O136" s="19" t="s">
        <v>711</v>
      </c>
      <c r="P136" s="48" t="str">
        <f t="shared" si="5"/>
        <v>"칠성사이다제로(500ml).jpg"</v>
      </c>
      <c r="Q136" s="13" t="s">
        <v>11</v>
      </c>
      <c r="R136" s="48" t="str">
        <f>VLOOKUP(Q136,'상품 분류코드'!$B$33:$D$35,3,0)</f>
        <v>"01"</v>
      </c>
      <c r="S136" s="14" t="s">
        <v>13</v>
      </c>
      <c r="T136" s="48" t="str">
        <f>VLOOKUP(S136,'상품 분류코드'!$B$4:$D$31,3,0)</f>
        <v>"0102"</v>
      </c>
    </row>
    <row r="137" spans="2:20" ht="17.399999999999999">
      <c r="B137" s="50">
        <v>133</v>
      </c>
      <c r="C137" s="50">
        <v>133</v>
      </c>
      <c r="D137" s="50" t="s">
        <v>577</v>
      </c>
      <c r="E137" s="50">
        <v>900</v>
      </c>
      <c r="F137" s="50">
        <v>24</v>
      </c>
      <c r="G137" s="57" t="s">
        <v>334</v>
      </c>
      <c r="H137" s="50" t="s">
        <v>849</v>
      </c>
      <c r="I137" s="50" t="s">
        <v>248</v>
      </c>
      <c r="J137" s="50" t="s">
        <v>250</v>
      </c>
      <c r="K137" s="47">
        <v>1</v>
      </c>
      <c r="L137" s="47">
        <v>1</v>
      </c>
      <c r="M137" s="56" t="str">
        <f t="shared" si="4"/>
        <v>,(133,"콘트라베이스디카페인블랙 500ml",900,24,"","콘트라베이스디카페인블랙 500ml.jpg","01","0102",1,1)</v>
      </c>
      <c r="O137" s="24" t="s">
        <v>712</v>
      </c>
      <c r="P137" s="48" t="str">
        <f t="shared" si="5"/>
        <v>"콘트라베이스디카페인블랙 500ml.jpg"</v>
      </c>
      <c r="Q137" s="13" t="s">
        <v>11</v>
      </c>
      <c r="R137" s="48" t="str">
        <f>VLOOKUP(Q137,'상품 분류코드'!$B$33:$D$35,3,0)</f>
        <v>"01"</v>
      </c>
      <c r="S137" s="14" t="s">
        <v>13</v>
      </c>
      <c r="T137" s="48" t="str">
        <f>VLOOKUP(S137,'상품 분류코드'!$B$4:$D$31,3,0)</f>
        <v>"0102"</v>
      </c>
    </row>
    <row r="138" spans="2:20" ht="17.399999999999999">
      <c r="B138" s="50">
        <v>134</v>
      </c>
      <c r="C138" s="50">
        <v>134</v>
      </c>
      <c r="D138" s="50" t="s">
        <v>578</v>
      </c>
      <c r="E138" s="50">
        <v>1490</v>
      </c>
      <c r="F138" s="50">
        <v>5</v>
      </c>
      <c r="G138" s="57" t="s">
        <v>334</v>
      </c>
      <c r="H138" s="50" t="s">
        <v>850</v>
      </c>
      <c r="I138" s="50" t="s">
        <v>248</v>
      </c>
      <c r="J138" s="50" t="s">
        <v>249</v>
      </c>
      <c r="K138" s="47">
        <v>1</v>
      </c>
      <c r="L138" s="47">
        <v>1</v>
      </c>
      <c r="M138" s="56" t="str">
        <f t="shared" si="4"/>
        <v>,(134,"쿠크다스케이크",1490,5,"","쿠크다스케이크.jpg","01","0101",1,1)</v>
      </c>
      <c r="O138" s="19" t="s">
        <v>713</v>
      </c>
      <c r="P138" s="48" t="str">
        <f t="shared" si="5"/>
        <v>"쿠크다스케이크.jpg"</v>
      </c>
      <c r="Q138" s="13" t="s">
        <v>11</v>
      </c>
      <c r="R138" s="48" t="str">
        <f>VLOOKUP(Q138,'상품 분류코드'!$B$33:$D$35,3,0)</f>
        <v>"01"</v>
      </c>
      <c r="S138" s="14" t="s">
        <v>12</v>
      </c>
      <c r="T138" s="48" t="str">
        <f>VLOOKUP(S138,'상품 분류코드'!$B$4:$D$31,3,0)</f>
        <v>"0101"</v>
      </c>
    </row>
    <row r="139" spans="2:20" ht="17.399999999999999">
      <c r="B139" s="50">
        <v>135</v>
      </c>
      <c r="C139" s="50">
        <v>135</v>
      </c>
      <c r="D139" s="50" t="s">
        <v>579</v>
      </c>
      <c r="E139" s="50">
        <v>1830</v>
      </c>
      <c r="F139" s="50">
        <v>5</v>
      </c>
      <c r="G139" s="57" t="s">
        <v>334</v>
      </c>
      <c r="H139" s="50" t="s">
        <v>851</v>
      </c>
      <c r="I139" s="50" t="s">
        <v>248</v>
      </c>
      <c r="J139" s="50" t="s">
        <v>249</v>
      </c>
      <c r="K139" s="47">
        <v>1</v>
      </c>
      <c r="L139" s="47">
        <v>1</v>
      </c>
      <c r="M139" s="56" t="str">
        <f t="shared" si="4"/>
        <v>,(135,"크라운산도딸기",1830,5,"","크라운산도딸기.jpg","01","0101",1,1)</v>
      </c>
      <c r="O139" s="19" t="s">
        <v>714</v>
      </c>
      <c r="P139" s="48" t="str">
        <f t="shared" si="5"/>
        <v>"크라운산도딸기.jpg"</v>
      </c>
      <c r="Q139" s="13" t="s">
        <v>11</v>
      </c>
      <c r="R139" s="48" t="str">
        <f>VLOOKUP(Q139,'상품 분류코드'!$B$33:$D$35,3,0)</f>
        <v>"01"</v>
      </c>
      <c r="S139" s="14" t="s">
        <v>12</v>
      </c>
      <c r="T139" s="48" t="str">
        <f>VLOOKUP(S139,'상품 분류코드'!$B$4:$D$31,3,0)</f>
        <v>"0101"</v>
      </c>
    </row>
    <row r="140" spans="2:20" ht="17.399999999999999">
      <c r="B140" s="50">
        <v>136</v>
      </c>
      <c r="C140" s="50">
        <v>136</v>
      </c>
      <c r="D140" s="50" t="s">
        <v>335</v>
      </c>
      <c r="E140" s="50">
        <v>680</v>
      </c>
      <c r="F140" s="50">
        <v>10</v>
      </c>
      <c r="G140" s="57" t="s">
        <v>334</v>
      </c>
      <c r="H140" s="50" t="s">
        <v>852</v>
      </c>
      <c r="I140" s="50" t="s">
        <v>248</v>
      </c>
      <c r="J140" s="50" t="s">
        <v>249</v>
      </c>
      <c r="K140" s="47">
        <v>1</v>
      </c>
      <c r="L140" s="47">
        <v>1</v>
      </c>
      <c r="M140" s="56" t="str">
        <f t="shared" si="4"/>
        <v>,(136,"크런키 빼빼로",680,10,"","크런키 빼빼로.jpg","01","0101",1,1)</v>
      </c>
      <c r="O140" s="19" t="s">
        <v>715</v>
      </c>
      <c r="P140" s="48" t="str">
        <f t="shared" si="5"/>
        <v>"크런키 빼빼로.jpg"</v>
      </c>
      <c r="Q140" s="13" t="s">
        <v>11</v>
      </c>
      <c r="R140" s="48" t="str">
        <f>VLOOKUP(Q140,'상품 분류코드'!$B$33:$D$35,3,0)</f>
        <v>"01"</v>
      </c>
      <c r="S140" s="14" t="s">
        <v>12</v>
      </c>
      <c r="T140" s="48" t="str">
        <f>VLOOKUP(S140,'상품 분류코드'!$B$4:$D$31,3,0)</f>
        <v>"0101"</v>
      </c>
    </row>
    <row r="141" spans="2:20" ht="17.399999999999999">
      <c r="B141" s="50">
        <v>137</v>
      </c>
      <c r="C141" s="50">
        <v>137</v>
      </c>
      <c r="D141" s="50" t="s">
        <v>336</v>
      </c>
      <c r="E141" s="50">
        <v>410</v>
      </c>
      <c r="F141" s="50">
        <v>15</v>
      </c>
      <c r="G141" s="57" t="s">
        <v>334</v>
      </c>
      <c r="H141" s="50" t="s">
        <v>853</v>
      </c>
      <c r="I141" s="50" t="s">
        <v>248</v>
      </c>
      <c r="J141" s="50" t="s">
        <v>249</v>
      </c>
      <c r="K141" s="47">
        <v>1</v>
      </c>
      <c r="L141" s="47">
        <v>1</v>
      </c>
      <c r="M141" s="56" t="str">
        <f t="shared" si="4"/>
        <v>,(137,"키캣 4핑거",410,15,"","키캣 4핑거.jpg","01","0101",1,1)</v>
      </c>
      <c r="O141" s="19" t="s">
        <v>716</v>
      </c>
      <c r="P141" s="48" t="str">
        <f t="shared" si="5"/>
        <v>"키캣 4핑거.jpg"</v>
      </c>
      <c r="Q141" s="13" t="s">
        <v>11</v>
      </c>
      <c r="R141" s="48" t="str">
        <f>VLOOKUP(Q141,'상품 분류코드'!$B$33:$D$35,3,0)</f>
        <v>"01"</v>
      </c>
      <c r="S141" s="14" t="s">
        <v>12</v>
      </c>
      <c r="T141" s="48" t="str">
        <f>VLOOKUP(S141,'상품 분류코드'!$B$4:$D$31,3,0)</f>
        <v>"0101"</v>
      </c>
    </row>
    <row r="142" spans="2:20" ht="17.399999999999999">
      <c r="B142" s="50">
        <v>138</v>
      </c>
      <c r="C142" s="50">
        <v>138</v>
      </c>
      <c r="D142" s="50" t="s">
        <v>337</v>
      </c>
      <c r="E142" s="50">
        <v>4000</v>
      </c>
      <c r="F142" s="50">
        <v>1</v>
      </c>
      <c r="G142" s="57" t="s">
        <v>334</v>
      </c>
      <c r="H142" s="50" t="s">
        <v>854</v>
      </c>
      <c r="I142" s="50" t="s">
        <v>248</v>
      </c>
      <c r="J142" s="50" t="s">
        <v>249</v>
      </c>
      <c r="K142" s="47">
        <v>1</v>
      </c>
      <c r="L142" s="47">
        <v>1</v>
      </c>
      <c r="M142" s="56" t="str">
        <f t="shared" si="4"/>
        <v>,(138,"탑플롯젤리 망고맛 320g",4000,1,"","탑플롯젤리 망고맛 320g.jpg","01","0101",1,1)</v>
      </c>
      <c r="O142" s="24" t="s">
        <v>717</v>
      </c>
      <c r="P142" s="48" t="str">
        <f t="shared" si="5"/>
        <v>"탑플롯젤리 망고맛 320g.jpg"</v>
      </c>
      <c r="Q142" s="13" t="s">
        <v>11</v>
      </c>
      <c r="R142" s="48" t="str">
        <f>VLOOKUP(Q142,'상품 분류코드'!$B$33:$D$35,3,0)</f>
        <v>"01"</v>
      </c>
      <c r="S142" s="14" t="s">
        <v>12</v>
      </c>
      <c r="T142" s="48" t="str">
        <f>VLOOKUP(S142,'상품 분류코드'!$B$4:$D$31,3,0)</f>
        <v>"0101"</v>
      </c>
    </row>
    <row r="143" spans="2:20" ht="17.399999999999999">
      <c r="B143" s="50">
        <v>139</v>
      </c>
      <c r="C143" s="50">
        <v>139</v>
      </c>
      <c r="D143" s="50" t="s">
        <v>338</v>
      </c>
      <c r="E143" s="50">
        <v>2120</v>
      </c>
      <c r="F143" s="50">
        <v>1</v>
      </c>
      <c r="G143" s="57" t="s">
        <v>334</v>
      </c>
      <c r="H143" s="50" t="s">
        <v>410</v>
      </c>
      <c r="I143" s="50" t="s">
        <v>248</v>
      </c>
      <c r="J143" s="50" t="s">
        <v>249</v>
      </c>
      <c r="K143" s="47">
        <v>1</v>
      </c>
      <c r="L143" s="47">
        <v>1</v>
      </c>
      <c r="M143" s="56" t="str">
        <f t="shared" si="4"/>
        <v>,(139,"틴인틴",2120,1,"","틴인틴.jpg","01","0101",1,1)</v>
      </c>
      <c r="O143" s="19" t="s">
        <v>374</v>
      </c>
      <c r="P143" s="48" t="str">
        <f t="shared" si="5"/>
        <v>"틴인틴.jpg"</v>
      </c>
      <c r="Q143" s="13" t="s">
        <v>11</v>
      </c>
      <c r="R143" s="48" t="str">
        <f>VLOOKUP(Q143,'상품 분류코드'!$B$33:$D$35,3,0)</f>
        <v>"01"</v>
      </c>
      <c r="S143" s="14" t="s">
        <v>12</v>
      </c>
      <c r="T143" s="48" t="str">
        <f>VLOOKUP(S143,'상품 분류코드'!$B$4:$D$31,3,0)</f>
        <v>"0101"</v>
      </c>
    </row>
    <row r="144" spans="2:20" ht="17.399999999999999">
      <c r="B144" s="50">
        <v>140</v>
      </c>
      <c r="C144" s="50">
        <v>140</v>
      </c>
      <c r="D144" s="50" t="s">
        <v>339</v>
      </c>
      <c r="E144" s="50">
        <v>1250</v>
      </c>
      <c r="F144" s="50">
        <v>12</v>
      </c>
      <c r="G144" s="57" t="s">
        <v>334</v>
      </c>
      <c r="H144" s="50" t="s">
        <v>411</v>
      </c>
      <c r="I144" s="50" t="s">
        <v>248</v>
      </c>
      <c r="J144" s="50" t="s">
        <v>249</v>
      </c>
      <c r="K144" s="47">
        <v>1</v>
      </c>
      <c r="L144" s="47">
        <v>1</v>
      </c>
      <c r="M144" s="56" t="str">
        <f t="shared" si="4"/>
        <v>,(140,"프링글스 오리지날",1250,12,"","프링글스 오리지날.jpg","01","0101",1,1)</v>
      </c>
      <c r="O144" s="24" t="s">
        <v>375</v>
      </c>
      <c r="P144" s="48" t="str">
        <f t="shared" si="5"/>
        <v>"프링글스 오리지날.jpg"</v>
      </c>
      <c r="Q144" s="13" t="s">
        <v>11</v>
      </c>
      <c r="R144" s="48" t="str">
        <f>VLOOKUP(Q144,'상품 분류코드'!$B$33:$D$35,3,0)</f>
        <v>"01"</v>
      </c>
      <c r="S144" s="14" t="s">
        <v>12</v>
      </c>
      <c r="T144" s="48" t="str">
        <f>VLOOKUP(S144,'상품 분류코드'!$B$4:$D$31,3,0)</f>
        <v>"0101"</v>
      </c>
    </row>
    <row r="145" spans="2:20" ht="17.399999999999999">
      <c r="B145" s="50">
        <v>141</v>
      </c>
      <c r="C145" s="50">
        <v>141</v>
      </c>
      <c r="D145" s="50" t="s">
        <v>340</v>
      </c>
      <c r="E145" s="50">
        <v>500</v>
      </c>
      <c r="F145" s="50">
        <v>10</v>
      </c>
      <c r="G145" s="57" t="s">
        <v>334</v>
      </c>
      <c r="H145" s="50" t="s">
        <v>412</v>
      </c>
      <c r="I145" s="50" t="s">
        <v>248</v>
      </c>
      <c r="J145" s="50" t="s">
        <v>249</v>
      </c>
      <c r="K145" s="47">
        <v>1</v>
      </c>
      <c r="L145" s="47">
        <v>1</v>
      </c>
      <c r="M145" s="56" t="str">
        <f t="shared" si="4"/>
        <v>,(141,"피시스낵 스파이스맛",500,10,"","피시스낵 스파이스맛.jpg","01","0101",1,1)</v>
      </c>
      <c r="O145" s="19" t="s">
        <v>376</v>
      </c>
      <c r="P145" s="48" t="str">
        <f t="shared" si="5"/>
        <v>"피시스낵 스파이스맛.jpg"</v>
      </c>
      <c r="Q145" s="13" t="s">
        <v>11</v>
      </c>
      <c r="R145" s="48" t="str">
        <f>VLOOKUP(Q145,'상품 분류코드'!$B$33:$D$35,3,0)</f>
        <v>"01"</v>
      </c>
      <c r="S145" s="14" t="s">
        <v>12</v>
      </c>
      <c r="T145" s="48" t="str">
        <f>VLOOKUP(S145,'상품 분류코드'!$B$4:$D$31,3,0)</f>
        <v>"0101"</v>
      </c>
    </row>
    <row r="146" spans="2:20" ht="17.399999999999999">
      <c r="B146" s="50">
        <v>142</v>
      </c>
      <c r="C146" s="50">
        <v>142</v>
      </c>
      <c r="D146" s="50" t="s">
        <v>341</v>
      </c>
      <c r="E146" s="50">
        <v>710</v>
      </c>
      <c r="F146" s="50">
        <v>24</v>
      </c>
      <c r="G146" s="57" t="s">
        <v>334</v>
      </c>
      <c r="H146" s="50" t="s">
        <v>413</v>
      </c>
      <c r="I146" s="50" t="s">
        <v>248</v>
      </c>
      <c r="J146" s="50" t="s">
        <v>250</v>
      </c>
      <c r="K146" s="47">
        <v>1</v>
      </c>
      <c r="L146" s="47">
        <v>1</v>
      </c>
      <c r="M146" s="56" t="str">
        <f t="shared" si="4"/>
        <v>,(142,"핫식스더킹러쉬 355ml",710,24,"","핫식스더킹러쉬 355ml.jpg","01","0102",1,1)</v>
      </c>
      <c r="O146" s="19" t="s">
        <v>377</v>
      </c>
      <c r="P146" s="48" t="str">
        <f t="shared" si="5"/>
        <v>"핫식스더킹러쉬 355ml.jpg"</v>
      </c>
      <c r="Q146" s="13" t="s">
        <v>11</v>
      </c>
      <c r="R146" s="48" t="str">
        <f>VLOOKUP(Q146,'상품 분류코드'!$B$33:$D$35,3,0)</f>
        <v>"01"</v>
      </c>
      <c r="S146" s="14" t="s">
        <v>13</v>
      </c>
      <c r="T146" s="48" t="str">
        <f>VLOOKUP(S146,'상품 분류코드'!$B$4:$D$31,3,0)</f>
        <v>"0102"</v>
      </c>
    </row>
    <row r="147" spans="2:20" ht="17.399999999999999">
      <c r="B147" s="50">
        <v>143</v>
      </c>
      <c r="C147" s="50">
        <v>143</v>
      </c>
      <c r="D147" s="50" t="s">
        <v>342</v>
      </c>
      <c r="E147" s="50">
        <v>850</v>
      </c>
      <c r="F147" s="50">
        <v>24</v>
      </c>
      <c r="G147" s="57" t="s">
        <v>334</v>
      </c>
      <c r="H147" s="50" t="s">
        <v>414</v>
      </c>
      <c r="I147" s="50" t="s">
        <v>248</v>
      </c>
      <c r="J147" s="50" t="s">
        <v>250</v>
      </c>
      <c r="K147" s="47">
        <v>1</v>
      </c>
      <c r="L147" s="47">
        <v>1</v>
      </c>
      <c r="M147" s="56" t="str">
        <f t="shared" si="4"/>
        <v>,(143,"핫식스더킹크러쉬피치 355ml",850,24,"","핫식스더킹크러쉬피치 355ml.jpg","01","0102",1,1)</v>
      </c>
      <c r="O147" s="19" t="s">
        <v>378</v>
      </c>
      <c r="P147" s="48" t="str">
        <f t="shared" si="5"/>
        <v>"핫식스더킹크러쉬피치 355ml.jpg"</v>
      </c>
      <c r="Q147" s="13" t="s">
        <v>11</v>
      </c>
      <c r="R147" s="48" t="str">
        <f>VLOOKUP(Q147,'상품 분류코드'!$B$33:$D$35,3,0)</f>
        <v>"01"</v>
      </c>
      <c r="S147" s="14" t="s">
        <v>13</v>
      </c>
      <c r="T147" s="48" t="str">
        <f>VLOOKUP(S147,'상품 분류코드'!$B$4:$D$31,3,0)</f>
        <v>"0102"</v>
      </c>
    </row>
    <row r="148" spans="2:20" ht="17.399999999999999">
      <c r="B148" s="50">
        <v>144</v>
      </c>
      <c r="C148" s="50">
        <v>144</v>
      </c>
      <c r="D148" s="50" t="s">
        <v>343</v>
      </c>
      <c r="E148" s="50">
        <v>720</v>
      </c>
      <c r="F148" s="50">
        <v>10</v>
      </c>
      <c r="G148" s="57" t="s">
        <v>334</v>
      </c>
      <c r="H148" s="50" t="s">
        <v>415</v>
      </c>
      <c r="I148" s="50" t="s">
        <v>248</v>
      </c>
      <c r="J148" s="50" t="s">
        <v>249</v>
      </c>
      <c r="K148" s="47">
        <v>1</v>
      </c>
      <c r="L148" s="47">
        <v>1</v>
      </c>
      <c r="M148" s="56" t="str">
        <f t="shared" si="4"/>
        <v>,(144,"화이트쿠키 빼뺴로",720,10,"","화이트쿠키 빼뺴로.jpg","01","0101",1,1)</v>
      </c>
      <c r="O148" s="27" t="s">
        <v>379</v>
      </c>
      <c r="P148" s="48" t="str">
        <f t="shared" si="5"/>
        <v>"화이트쿠키 빼뺴로.jpg"</v>
      </c>
      <c r="Q148" s="13" t="s">
        <v>11</v>
      </c>
      <c r="R148" s="48" t="str">
        <f>VLOOKUP(Q148,'상품 분류코드'!$B$33:$D$35,3,0)</f>
        <v>"01"</v>
      </c>
      <c r="S148" s="14" t="s">
        <v>12</v>
      </c>
      <c r="T148" s="48" t="str">
        <f>VLOOKUP(S148,'상품 분류코드'!$B$4:$D$31,3,0)</f>
        <v>"0101"</v>
      </c>
    </row>
    <row r="149" spans="2:20" ht="17.399999999999999">
      <c r="B149" s="50">
        <v>145</v>
      </c>
      <c r="C149" s="50">
        <v>145</v>
      </c>
      <c r="D149" s="50" t="s">
        <v>344</v>
      </c>
      <c r="E149" s="50">
        <v>1900</v>
      </c>
      <c r="F149" s="50">
        <v>5</v>
      </c>
      <c r="G149" s="57" t="s">
        <v>334</v>
      </c>
      <c r="H149" s="50" t="s">
        <v>416</v>
      </c>
      <c r="I149" s="50" t="s">
        <v>248</v>
      </c>
      <c r="J149" s="50" t="s">
        <v>249</v>
      </c>
      <c r="K149" s="47">
        <v>1</v>
      </c>
      <c r="L149" s="47">
        <v>1</v>
      </c>
      <c r="M149" s="56" t="str">
        <f t="shared" si="4"/>
        <v>,(145,"후레쉬베리 6개입",1900,5,"","후레쉬베리 6개입.jpg","01","0101",1,1)</v>
      </c>
      <c r="O149" s="24" t="s">
        <v>380</v>
      </c>
      <c r="P149" s="48" t="str">
        <f t="shared" si="5"/>
        <v>"후레쉬베리 6개입.jpg"</v>
      </c>
      <c r="Q149" s="13" t="s">
        <v>11</v>
      </c>
      <c r="R149" s="48" t="str">
        <f>VLOOKUP(Q149,'상품 분류코드'!$B$33:$D$35,3,0)</f>
        <v>"01"</v>
      </c>
      <c r="S149" s="14" t="s">
        <v>12</v>
      </c>
      <c r="T149" s="48" t="str">
        <f>VLOOKUP(S149,'상품 분류코드'!$B$4:$D$31,3,0)</f>
        <v>"0101"</v>
      </c>
    </row>
    <row r="150" spans="2:20" ht="17.399999999999999">
      <c r="B150" s="50">
        <v>146</v>
      </c>
      <c r="C150" s="50">
        <v>146</v>
      </c>
      <c r="D150" s="50" t="s">
        <v>345</v>
      </c>
      <c r="E150" s="50">
        <v>11830</v>
      </c>
      <c r="F150" s="50">
        <v>1</v>
      </c>
      <c r="G150" s="57" t="s">
        <v>334</v>
      </c>
      <c r="H150" s="50" t="s">
        <v>417</v>
      </c>
      <c r="I150" s="50" t="s">
        <v>267</v>
      </c>
      <c r="J150" s="50" t="s">
        <v>271</v>
      </c>
      <c r="K150" s="47">
        <v>1</v>
      </c>
      <c r="L150" s="47">
        <v>1</v>
      </c>
      <c r="M150" s="56" t="str">
        <f t="shared" si="4"/>
        <v>,(146,"질레트프로글라이드",11830,1,"","질레트프로글라이드.jpg","03","0304",1,1)</v>
      </c>
      <c r="O150" s="21" t="s">
        <v>381</v>
      </c>
      <c r="P150" s="48" t="str">
        <f t="shared" si="5"/>
        <v>"질레트프로글라이드.jpg"</v>
      </c>
      <c r="Q150" s="13" t="s">
        <v>6</v>
      </c>
      <c r="R150" s="48" t="str">
        <f>VLOOKUP(Q150,'상품 분류코드'!$B$33:$D$35,3,0)</f>
        <v>"03"</v>
      </c>
      <c r="S150" s="14" t="s">
        <v>232</v>
      </c>
      <c r="T150" s="48" t="str">
        <f>VLOOKUP(S150,'상품 분류코드'!$B$4:$D$31,3,0)</f>
        <v>"0304"</v>
      </c>
    </row>
    <row r="151" spans="2:20" ht="17.399999999999999">
      <c r="B151" s="50">
        <v>147</v>
      </c>
      <c r="C151" s="50">
        <v>147</v>
      </c>
      <c r="D151" s="50" t="s">
        <v>346</v>
      </c>
      <c r="E151" s="50">
        <v>3590</v>
      </c>
      <c r="F151" s="50">
        <v>1</v>
      </c>
      <c r="G151" s="57" t="s">
        <v>334</v>
      </c>
      <c r="H151" s="50" t="s">
        <v>418</v>
      </c>
      <c r="I151" s="50" t="s">
        <v>267</v>
      </c>
      <c r="J151" s="50" t="s">
        <v>272</v>
      </c>
      <c r="K151" s="47">
        <v>1</v>
      </c>
      <c r="L151" s="47">
        <v>1</v>
      </c>
      <c r="M151" s="56" t="str">
        <f t="shared" si="4"/>
        <v>,(147,"2080닥터크리닉잇몸치약(3개 묶음)",3590,1,"","2080닥터크리닉잇몸치약(3개 묶음).jpg","03","0305",1,1)</v>
      </c>
      <c r="O151" s="19" t="s">
        <v>382</v>
      </c>
      <c r="P151" s="48" t="str">
        <f t="shared" si="5"/>
        <v>"2080닥터크리닉잇몸치약(3개 묶음).jpg"</v>
      </c>
      <c r="Q151" s="13" t="s">
        <v>6</v>
      </c>
      <c r="R151" s="48" t="str">
        <f>VLOOKUP(Q151,'상품 분류코드'!$B$33:$D$35,3,0)</f>
        <v>"03"</v>
      </c>
      <c r="S151" s="14" t="s">
        <v>235</v>
      </c>
      <c r="T151" s="48" t="str">
        <f>VLOOKUP(S151,'상품 분류코드'!$B$4:$D$31,3,0)</f>
        <v>"0305"</v>
      </c>
    </row>
    <row r="152" spans="2:20" ht="17.399999999999999">
      <c r="B152" s="50">
        <v>148</v>
      </c>
      <c r="C152" s="50">
        <v>148</v>
      </c>
      <c r="D152" s="50" t="s">
        <v>347</v>
      </c>
      <c r="E152" s="50">
        <v>9900</v>
      </c>
      <c r="F152" s="50">
        <v>1</v>
      </c>
      <c r="G152" s="57" t="s">
        <v>334</v>
      </c>
      <c r="H152" s="50" t="s">
        <v>419</v>
      </c>
      <c r="I152" s="50" t="s">
        <v>267</v>
      </c>
      <c r="J152" s="50" t="s">
        <v>275</v>
      </c>
      <c r="K152" s="47">
        <v>1</v>
      </c>
      <c r="L152" s="47">
        <v>1</v>
      </c>
      <c r="M152" s="56" t="str">
        <f t="shared" si="4"/>
        <v>,(148,"AIR MESH 로카티 GMR904",9900,1,"","AIR MESH 로카티 GMR904.jpg","03","0308",1,1)</v>
      </c>
      <c r="O152" s="19" t="s">
        <v>383</v>
      </c>
      <c r="P152" s="48" t="str">
        <f t="shared" si="5"/>
        <v>"AIR MESH 로카티 GMR904.jpg"</v>
      </c>
      <c r="Q152" s="13" t="s">
        <v>6</v>
      </c>
      <c r="R152" s="48" t="str">
        <f>VLOOKUP(Q152,'상품 분류코드'!$B$33:$D$35,3,0)</f>
        <v>"03"</v>
      </c>
      <c r="S152" s="14" t="s">
        <v>242</v>
      </c>
      <c r="T152" s="48" t="str">
        <f>VLOOKUP(S152,'상품 분류코드'!$B$4:$D$31,3,0)</f>
        <v>"0308"</v>
      </c>
    </row>
    <row r="153" spans="2:20" ht="17.399999999999999">
      <c r="B153" s="50">
        <v>149</v>
      </c>
      <c r="C153" s="50">
        <v>149</v>
      </c>
      <c r="D153" s="50" t="s">
        <v>348</v>
      </c>
      <c r="E153" s="50">
        <v>9900</v>
      </c>
      <c r="F153" s="50">
        <v>1</v>
      </c>
      <c r="G153" s="57" t="s">
        <v>334</v>
      </c>
      <c r="H153" s="50" t="s">
        <v>420</v>
      </c>
      <c r="I153" s="50" t="s">
        <v>267</v>
      </c>
      <c r="J153" s="50" t="s">
        <v>275</v>
      </c>
      <c r="K153" s="47">
        <v>1</v>
      </c>
      <c r="L153" s="47">
        <v>1</v>
      </c>
      <c r="M153" s="56" t="str">
        <f t="shared" si="4"/>
        <v>,(149,"ROKA 반팔티",9900,1,"","ROKA 반팔티.jpg","03","0308",1,1)</v>
      </c>
      <c r="O153" s="19" t="s">
        <v>384</v>
      </c>
      <c r="P153" s="48" t="str">
        <f t="shared" si="5"/>
        <v>"ROKA 반팔티.jpg"</v>
      </c>
      <c r="Q153" s="13" t="s">
        <v>6</v>
      </c>
      <c r="R153" s="48" t="str">
        <f>VLOOKUP(Q153,'상품 분류코드'!$B$33:$D$35,3,0)</f>
        <v>"03"</v>
      </c>
      <c r="S153" s="14" t="s">
        <v>242</v>
      </c>
      <c r="T153" s="48" t="str">
        <f>VLOOKUP(S153,'상품 분류코드'!$B$4:$D$31,3,0)</f>
        <v>"0308"</v>
      </c>
    </row>
    <row r="154" spans="2:20" ht="17.399999999999999">
      <c r="B154" s="50">
        <v>150</v>
      </c>
      <c r="C154" s="50">
        <v>150</v>
      </c>
      <c r="D154" s="50" t="s">
        <v>349</v>
      </c>
      <c r="E154" s="50">
        <v>2700</v>
      </c>
      <c r="F154" s="50">
        <v>1</v>
      </c>
      <c r="G154" s="57" t="s">
        <v>334</v>
      </c>
      <c r="H154" s="50" t="s">
        <v>421</v>
      </c>
      <c r="I154" s="50" t="s">
        <v>267</v>
      </c>
      <c r="J154" s="50" t="s">
        <v>269</v>
      </c>
      <c r="K154" s="47">
        <v>1</v>
      </c>
      <c r="L154" s="47">
        <v>1</v>
      </c>
      <c r="M154" s="56" t="str">
        <f t="shared" si="4"/>
        <v>,(150,"고농축피죤 써니가든 1.6L",2700,1,"","고농축피죤 써니가든 1.6L.jpg","03","0302",1,1)</v>
      </c>
      <c r="O154" s="19" t="s">
        <v>385</v>
      </c>
      <c r="P154" s="48" t="str">
        <f t="shared" si="5"/>
        <v>"고농축피죤 써니가든 1.6L.jpg"</v>
      </c>
      <c r="Q154" s="13" t="s">
        <v>6</v>
      </c>
      <c r="R154" s="48" t="str">
        <f>VLOOKUP(Q154,'상품 분류코드'!$B$33:$D$35,3,0)</f>
        <v>"03"</v>
      </c>
      <c r="S154" s="14" t="s">
        <v>237</v>
      </c>
      <c r="T154" s="48" t="str">
        <f>VLOOKUP(S154,'상품 분류코드'!$B$4:$D$31,3,0)</f>
        <v>"0302"</v>
      </c>
    </row>
    <row r="155" spans="2:20" ht="17.399999999999999">
      <c r="B155" s="50">
        <v>151</v>
      </c>
      <c r="C155" s="50">
        <v>151</v>
      </c>
      <c r="D155" s="50" t="s">
        <v>350</v>
      </c>
      <c r="E155" s="50">
        <v>4490</v>
      </c>
      <c r="F155" s="50">
        <v>1</v>
      </c>
      <c r="G155" s="57" t="s">
        <v>334</v>
      </c>
      <c r="H155" s="50" t="s">
        <v>422</v>
      </c>
      <c r="I155" s="50" t="s">
        <v>267</v>
      </c>
      <c r="J155" s="50" t="s">
        <v>269</v>
      </c>
      <c r="K155" s="47">
        <v>1</v>
      </c>
      <c r="L155" s="47">
        <v>1</v>
      </c>
      <c r="M155" s="56" t="str">
        <f t="shared" si="4"/>
        <v>,(151,"고농축피죤 플라워페스티벌 2.3L",4490,1,"","고농축피죤 플라워페스티벌 2.3L.jpg","03","0302",1,1)</v>
      </c>
      <c r="O155" s="19" t="s">
        <v>386</v>
      </c>
      <c r="P155" s="48" t="str">
        <f t="shared" si="5"/>
        <v>"고농축피죤 플라워페스티벌 2.3L.jpg"</v>
      </c>
      <c r="Q155" s="13" t="s">
        <v>6</v>
      </c>
      <c r="R155" s="48" t="str">
        <f>VLOOKUP(Q155,'상품 분류코드'!$B$33:$D$35,3,0)</f>
        <v>"03"</v>
      </c>
      <c r="S155" s="14" t="s">
        <v>237</v>
      </c>
      <c r="T155" s="48" t="str">
        <f>VLOOKUP(S155,'상품 분류코드'!$B$4:$D$31,3,0)</f>
        <v>"0302"</v>
      </c>
    </row>
    <row r="156" spans="2:20" ht="17.399999999999999">
      <c r="B156" s="50">
        <v>152</v>
      </c>
      <c r="C156" s="50">
        <v>152</v>
      </c>
      <c r="D156" s="50" t="s">
        <v>351</v>
      </c>
      <c r="E156" s="50">
        <v>1300</v>
      </c>
      <c r="F156" s="50">
        <v>5</v>
      </c>
      <c r="G156" s="57" t="s">
        <v>334</v>
      </c>
      <c r="H156" s="50" t="s">
        <v>423</v>
      </c>
      <c r="I156" s="50" t="s">
        <v>267</v>
      </c>
      <c r="J156" s="50" t="s">
        <v>272</v>
      </c>
      <c r="K156" s="47">
        <v>1</v>
      </c>
      <c r="L156" s="47">
        <v>1</v>
      </c>
      <c r="M156" s="56" t="str">
        <f t="shared" si="4"/>
        <v>,(152,"2080 덴탈크리닉 뉴샤이닝 화이트 치약, 140g",1300,5,"","2080 덴탈크리닉 뉴샤이닝 화이트 치약, 140g.jpg","03","0305",1,1)</v>
      </c>
      <c r="O156" s="25" t="s">
        <v>387</v>
      </c>
      <c r="P156" s="48" t="str">
        <f t="shared" si="5"/>
        <v>"2080 덴탈크리닉 뉴샤이닝 화이트 치약, 140g.jpg"</v>
      </c>
      <c r="Q156" s="13" t="s">
        <v>6</v>
      </c>
      <c r="R156" s="48" t="str">
        <f>VLOOKUP(Q156,'상품 분류코드'!$B$33:$D$35,3,0)</f>
        <v>"03"</v>
      </c>
      <c r="S156" s="14" t="s">
        <v>235</v>
      </c>
      <c r="T156" s="48" t="str">
        <f>VLOOKUP(S156,'상품 분류코드'!$B$4:$D$31,3,0)</f>
        <v>"0305"</v>
      </c>
    </row>
    <row r="157" spans="2:20" ht="17.399999999999999">
      <c r="B157" s="50">
        <v>153</v>
      </c>
      <c r="C157" s="50">
        <v>153</v>
      </c>
      <c r="D157" s="50" t="s">
        <v>352</v>
      </c>
      <c r="E157" s="50">
        <v>2400</v>
      </c>
      <c r="F157" s="50">
        <v>1</v>
      </c>
      <c r="G157" s="57" t="s">
        <v>334</v>
      </c>
      <c r="H157" s="50" t="s">
        <v>424</v>
      </c>
      <c r="I157" s="50" t="s">
        <v>267</v>
      </c>
      <c r="J157" s="50" t="s">
        <v>255</v>
      </c>
      <c r="K157" s="47">
        <v>1</v>
      </c>
      <c r="L157" s="47">
        <v>1</v>
      </c>
      <c r="M157" s="56" t="str">
        <f t="shared" si="4"/>
        <v>,(153,"스팀베이스 데일리 아이마스크 라벤더향, 14매입",2400,1,"","스팀베이스 데일리 아이마스크 라벤더향, 14매입.jpg","03","0107",1,1)</v>
      </c>
      <c r="O157" s="24" t="s">
        <v>388</v>
      </c>
      <c r="P157" s="48" t="str">
        <f t="shared" si="5"/>
        <v>"스팀베이스 데일리 아이마스크 라벤더향, 14매입.jpg"</v>
      </c>
      <c r="Q157" s="13" t="s">
        <v>6</v>
      </c>
      <c r="R157" s="48" t="str">
        <f>VLOOKUP(Q157,'상품 분류코드'!$B$33:$D$35,3,0)</f>
        <v>"03"</v>
      </c>
      <c r="S157" s="13" t="s">
        <v>6</v>
      </c>
      <c r="T157" s="48" t="str">
        <f>VLOOKUP(S157,'상품 분류코드'!$B$4:$D$31,3,0)</f>
        <v>"0107"</v>
      </c>
    </row>
    <row r="158" spans="2:20" ht="17.399999999999999">
      <c r="B158" s="50">
        <v>154</v>
      </c>
      <c r="C158" s="50">
        <v>154</v>
      </c>
      <c r="D158" s="50" t="s">
        <v>353</v>
      </c>
      <c r="E158" s="50">
        <v>6860</v>
      </c>
      <c r="F158" s="50">
        <v>1</v>
      </c>
      <c r="G158" s="57" t="s">
        <v>334</v>
      </c>
      <c r="H158" s="50" t="s">
        <v>425</v>
      </c>
      <c r="I158" s="50" t="s">
        <v>267</v>
      </c>
      <c r="J158" s="50" t="s">
        <v>273</v>
      </c>
      <c r="K158" s="47">
        <v>1</v>
      </c>
      <c r="L158" s="47">
        <v>1</v>
      </c>
      <c r="M158" s="56" t="str">
        <f t="shared" si="4"/>
        <v>,(154,"라보에이치 프로바이오틱스 탈모증상완화 샴푸 두피쿨링, 400ml",6860,1,"","라보에이치 프로바이오틱스 탈모증상완화 샴푸 두피쿨링, 400ml.jpg","03","0306",1,1)</v>
      </c>
      <c r="O158" s="24" t="s">
        <v>389</v>
      </c>
      <c r="P158" s="48" t="str">
        <f t="shared" si="5"/>
        <v>"라보에이치 프로바이오틱스 탈모증상완화 샴푸 두피쿨링, 400ml.jpg"</v>
      </c>
      <c r="Q158" s="13" t="s">
        <v>6</v>
      </c>
      <c r="R158" s="48" t="str">
        <f>VLOOKUP(Q158,'상품 분류코드'!$B$33:$D$35,3,0)</f>
        <v>"03"</v>
      </c>
      <c r="S158" s="14" t="s">
        <v>239</v>
      </c>
      <c r="T158" s="48" t="str">
        <f>VLOOKUP(S158,'상품 분류코드'!$B$4:$D$31,3,0)</f>
        <v>"0306"</v>
      </c>
    </row>
    <row r="159" spans="2:20" ht="17.399999999999999">
      <c r="B159" s="50">
        <v>155</v>
      </c>
      <c r="C159" s="50">
        <v>155</v>
      </c>
      <c r="D159" s="50" t="s">
        <v>354</v>
      </c>
      <c r="E159" s="50">
        <v>4020</v>
      </c>
      <c r="F159" s="50">
        <v>1</v>
      </c>
      <c r="G159" s="57" t="s">
        <v>334</v>
      </c>
      <c r="H159" s="50" t="s">
        <v>426</v>
      </c>
      <c r="I159" s="50" t="s">
        <v>267</v>
      </c>
      <c r="J159" s="50" t="s">
        <v>273</v>
      </c>
      <c r="K159" s="47">
        <v>1</v>
      </c>
      <c r="L159" s="47">
        <v>1</v>
      </c>
      <c r="M159" s="56" t="str">
        <f t="shared" si="4"/>
        <v>,(155,"려 흑운 모근강화 볼륨케어 샴푸, 500ml",4020,1,"","려 흑운 모근강화 볼륨케어 샴푸, 500ml.jpg","03","0306",1,1)</v>
      </c>
      <c r="O159" s="27" t="s">
        <v>390</v>
      </c>
      <c r="P159" s="48" t="str">
        <f t="shared" si="5"/>
        <v>"려 흑운 모근강화 볼륨케어 샴푸, 500ml.jpg"</v>
      </c>
      <c r="Q159" s="13" t="s">
        <v>6</v>
      </c>
      <c r="R159" s="48" t="str">
        <f>VLOOKUP(Q159,'상품 분류코드'!$B$33:$D$35,3,0)</f>
        <v>"03"</v>
      </c>
      <c r="S159" s="14" t="s">
        <v>239</v>
      </c>
      <c r="T159" s="48" t="str">
        <f>VLOOKUP(S159,'상품 분류코드'!$B$4:$D$31,3,0)</f>
        <v>"0306"</v>
      </c>
    </row>
    <row r="160" spans="2:20" ht="17.399999999999999">
      <c r="B160" s="50">
        <v>156</v>
      </c>
      <c r="C160" s="50">
        <v>156</v>
      </c>
      <c r="D160" s="50" t="s">
        <v>355</v>
      </c>
      <c r="E160" s="50">
        <v>2300</v>
      </c>
      <c r="F160" s="50">
        <v>1</v>
      </c>
      <c r="G160" s="57" t="s">
        <v>334</v>
      </c>
      <c r="H160" s="50" t="s">
        <v>427</v>
      </c>
      <c r="I160" s="50" t="s">
        <v>267</v>
      </c>
      <c r="J160" s="50" t="s">
        <v>255</v>
      </c>
      <c r="K160" s="47">
        <v>1</v>
      </c>
      <c r="L160" s="47">
        <v>1</v>
      </c>
      <c r="M160" s="56" t="str">
        <f t="shared" si="4"/>
        <v>,(156,"마데카메디패치스팟패피 51매",2300,1,"","마데카메디패치스팟패피 51매.jpg","03","0107",1,1)</v>
      </c>
      <c r="O160" s="19" t="s">
        <v>391</v>
      </c>
      <c r="P160" s="48" t="str">
        <f t="shared" si="5"/>
        <v>"마데카메디패치스팟패피 51매.jpg"</v>
      </c>
      <c r="Q160" s="26" t="s">
        <v>89</v>
      </c>
      <c r="R160" s="48" t="str">
        <f>VLOOKUP(Q160,'상품 분류코드'!$B$33:$D$35,3,0)</f>
        <v>"03"</v>
      </c>
      <c r="S160" s="14" t="s">
        <v>6</v>
      </c>
      <c r="T160" s="48" t="str">
        <f>VLOOKUP(S160,'상품 분류코드'!$B$4:$D$31,3,0)</f>
        <v>"0107"</v>
      </c>
    </row>
    <row r="161" spans="2:20" ht="17.399999999999999">
      <c r="B161" s="50">
        <v>157</v>
      </c>
      <c r="C161" s="50">
        <v>157</v>
      </c>
      <c r="D161" s="50" t="s">
        <v>356</v>
      </c>
      <c r="E161" s="50">
        <v>2370</v>
      </c>
      <c r="F161" s="50">
        <v>1</v>
      </c>
      <c r="G161" s="57" t="s">
        <v>334</v>
      </c>
      <c r="H161" s="50" t="s">
        <v>428</v>
      </c>
      <c r="I161" s="50" t="s">
        <v>267</v>
      </c>
      <c r="J161" s="50" t="s">
        <v>272</v>
      </c>
      <c r="K161" s="47">
        <v>1</v>
      </c>
      <c r="L161" s="47">
        <v>1</v>
      </c>
      <c r="M161" s="56" t="str">
        <f t="shared" si="4"/>
        <v>,(157,"메디안 미백과학 치약 플럼민트향",2370,1,"","메디안 미백과학 치약 플럼민트향.jpg","03","0305",1,1)</v>
      </c>
      <c r="O161" s="19" t="s">
        <v>392</v>
      </c>
      <c r="P161" s="48" t="str">
        <f t="shared" si="5"/>
        <v>"메디안 미백과학 치약 플럼민트향.jpg"</v>
      </c>
      <c r="Q161" s="13" t="s">
        <v>6</v>
      </c>
      <c r="R161" s="48" t="str">
        <f>VLOOKUP(Q161,'상품 분류코드'!$B$33:$D$35,3,0)</f>
        <v>"03"</v>
      </c>
      <c r="S161" s="14" t="s">
        <v>235</v>
      </c>
      <c r="T161" s="48" t="str">
        <f>VLOOKUP(S161,'상품 분류코드'!$B$4:$D$31,3,0)</f>
        <v>"0305"</v>
      </c>
    </row>
    <row r="162" spans="2:20" ht="17.399999999999999">
      <c r="B162" s="50">
        <v>158</v>
      </c>
      <c r="C162" s="50">
        <v>158</v>
      </c>
      <c r="D162" s="50" t="s">
        <v>357</v>
      </c>
      <c r="E162" s="50">
        <v>11450</v>
      </c>
      <c r="F162" s="50">
        <v>1</v>
      </c>
      <c r="G162" s="57" t="s">
        <v>334</v>
      </c>
      <c r="H162" s="50" t="s">
        <v>429</v>
      </c>
      <c r="I162" s="50" t="s">
        <v>267</v>
      </c>
      <c r="J162" s="50" t="s">
        <v>268</v>
      </c>
      <c r="K162" s="47">
        <v>1</v>
      </c>
      <c r="L162" s="47">
        <v>1</v>
      </c>
      <c r="M162" s="56" t="str">
        <f t="shared" si="4"/>
        <v>,(158,"불스원 그라스 디퓨저 코튼향(차량방향제)",11450,1,"","불스원 그라스 디퓨저 코튼향(차량방향제).jpg","03","0301",1,1)</v>
      </c>
      <c r="O162" s="19" t="s">
        <v>393</v>
      </c>
      <c r="P162" s="48" t="str">
        <f t="shared" si="5"/>
        <v>"불스원 그라스 디퓨저 코튼향(차량방향제).jpg"</v>
      </c>
      <c r="Q162" s="13" t="s">
        <v>6</v>
      </c>
      <c r="R162" s="48" t="str">
        <f>VLOOKUP(Q162,'상품 분류코드'!$B$33:$D$35,3,0)</f>
        <v>"03"</v>
      </c>
      <c r="S162" s="14" t="s">
        <v>7</v>
      </c>
      <c r="T162" s="48" t="str">
        <f>VLOOKUP(S162,'상품 분류코드'!$B$4:$D$31,3,0)</f>
        <v>"0301"</v>
      </c>
    </row>
    <row r="163" spans="2:20" ht="17.399999999999999">
      <c r="B163" s="50">
        <v>159</v>
      </c>
      <c r="C163" s="50">
        <v>159</v>
      </c>
      <c r="D163" s="50" t="s">
        <v>358</v>
      </c>
      <c r="E163" s="50">
        <v>11900</v>
      </c>
      <c r="F163" s="50">
        <v>1</v>
      </c>
      <c r="G163" s="57" t="s">
        <v>334</v>
      </c>
      <c r="H163" s="50" t="s">
        <v>430</v>
      </c>
      <c r="I163" s="50" t="s">
        <v>267</v>
      </c>
      <c r="J163" s="50" t="s">
        <v>272</v>
      </c>
      <c r="K163" s="47">
        <v>1</v>
      </c>
      <c r="L163" s="47">
        <v>1</v>
      </c>
      <c r="M163" s="56" t="str">
        <f t="shared" si="4"/>
        <v>,(159,"뷰카 클래식 고불소 구취케어 치약 아쿠아민트향 210g 4개",11900,1,"","뷰카 클래식 고불소 구취케어 치약 아쿠아민트향 210g 4개.jpg","03","0305",1,1)</v>
      </c>
      <c r="O163" s="24" t="s">
        <v>394</v>
      </c>
      <c r="P163" s="48" t="str">
        <f t="shared" si="5"/>
        <v>"뷰카 클래식 고불소 구취케어 치약 아쿠아민트향 210g 4개.jpg"</v>
      </c>
      <c r="Q163" s="13" t="s">
        <v>6</v>
      </c>
      <c r="R163" s="48" t="str">
        <f>VLOOKUP(Q163,'상품 분류코드'!$B$33:$D$35,3,0)</f>
        <v>"03"</v>
      </c>
      <c r="S163" s="14" t="s">
        <v>235</v>
      </c>
      <c r="T163" s="48" t="str">
        <f>VLOOKUP(S163,'상품 분류코드'!$B$4:$D$31,3,0)</f>
        <v>"0305"</v>
      </c>
    </row>
    <row r="164" spans="2:20" ht="17.399999999999999">
      <c r="B164" s="50">
        <v>160</v>
      </c>
      <c r="C164" s="50">
        <v>160</v>
      </c>
      <c r="D164" s="50" t="s">
        <v>359</v>
      </c>
      <c r="E164" s="50">
        <v>5070</v>
      </c>
      <c r="F164" s="50">
        <v>1</v>
      </c>
      <c r="G164" s="57" t="s">
        <v>334</v>
      </c>
      <c r="H164" s="50" t="s">
        <v>431</v>
      </c>
      <c r="I164" s="50" t="s">
        <v>267</v>
      </c>
      <c r="J164" s="50" t="s">
        <v>269</v>
      </c>
      <c r="K164" s="47">
        <v>1</v>
      </c>
      <c r="L164" s="47">
        <v>1</v>
      </c>
      <c r="M164" s="56" t="str">
        <f t="shared" si="4"/>
        <v>,(160,"비트 트리플액션 2.8L(일반)",5070,1,"","비트 트리플액션 2.8L(일반).jpg","03","0302",1,1)</v>
      </c>
      <c r="O164" s="19" t="s">
        <v>395</v>
      </c>
      <c r="P164" s="48" t="str">
        <f t="shared" si="5"/>
        <v>"비트 트리플액션 2.8L(일반).jpg"</v>
      </c>
      <c r="Q164" s="13" t="s">
        <v>6</v>
      </c>
      <c r="R164" s="48" t="str">
        <f>VLOOKUP(Q164,'상품 분류코드'!$B$33:$D$35,3,0)</f>
        <v>"03"</v>
      </c>
      <c r="S164" s="14" t="s">
        <v>237</v>
      </c>
      <c r="T164" s="48" t="str">
        <f>VLOOKUP(S164,'상품 분류코드'!$B$4:$D$31,3,0)</f>
        <v>"0302"</v>
      </c>
    </row>
    <row r="165" spans="2:20" ht="17.399999999999999">
      <c r="B165" s="50">
        <v>161</v>
      </c>
      <c r="C165" s="50">
        <v>161</v>
      </c>
      <c r="D165" s="50" t="s">
        <v>360</v>
      </c>
      <c r="E165" s="50">
        <v>6570</v>
      </c>
      <c r="F165" s="50">
        <v>1</v>
      </c>
      <c r="G165" s="57" t="s">
        <v>334</v>
      </c>
      <c r="H165" s="50" t="s">
        <v>432</v>
      </c>
      <c r="I165" s="50" t="s">
        <v>267</v>
      </c>
      <c r="J165" s="50" t="s">
        <v>274</v>
      </c>
      <c r="K165" s="47">
        <v>1</v>
      </c>
      <c r="L165" s="47">
        <v>1</v>
      </c>
      <c r="M165" s="56" t="str">
        <f t="shared" si="4"/>
        <v>,(161,"스킨유 이노센트 컴포티우디 샤워젤 500ml",6570,1,"","스킨유 이노센트 컴포티우디 샤워젤 500ml.jpg","03","0307",1,1)</v>
      </c>
      <c r="O165" s="24" t="s">
        <v>396</v>
      </c>
      <c r="P165" s="48" t="str">
        <f t="shared" si="5"/>
        <v>"스킨유 이노센트 컴포티우디 샤워젤 500ml.jpg"</v>
      </c>
      <c r="Q165" s="13" t="s">
        <v>6</v>
      </c>
      <c r="R165" s="48" t="str">
        <f>VLOOKUP(Q165,'상품 분류코드'!$B$33:$D$35,3,0)</f>
        <v>"03"</v>
      </c>
      <c r="S165" s="14" t="s">
        <v>241</v>
      </c>
      <c r="T165" s="48" t="str">
        <f>VLOOKUP(S165,'상품 분류코드'!$B$4:$D$31,3,0)</f>
        <v>"0307"</v>
      </c>
    </row>
    <row r="166" spans="2:20" ht="17.399999999999999">
      <c r="B166" s="50">
        <v>162</v>
      </c>
      <c r="C166" s="50">
        <v>162</v>
      </c>
      <c r="D166" s="50" t="s">
        <v>361</v>
      </c>
      <c r="E166" s="50">
        <v>4140</v>
      </c>
      <c r="F166" s="50">
        <v>1</v>
      </c>
      <c r="G166" s="57" t="s">
        <v>334</v>
      </c>
      <c r="H166" s="50" t="s">
        <v>433</v>
      </c>
      <c r="I166" s="50" t="s">
        <v>248</v>
      </c>
      <c r="J166" s="50" t="s">
        <v>253</v>
      </c>
      <c r="K166" s="47">
        <v>1</v>
      </c>
      <c r="L166" s="47">
        <v>1</v>
      </c>
      <c r="M166" s="56" t="str">
        <f t="shared" si="4"/>
        <v>,(162,"아워티 핑크리치 캐모마일티 8p",4140,1,"","아워티 핑크리치 캐모마일티 8p.jpg","01","0105",1,1)</v>
      </c>
      <c r="O166" s="19" t="s">
        <v>397</v>
      </c>
      <c r="P166" s="48" t="str">
        <f t="shared" si="5"/>
        <v>"아워티 핑크리치 캐모마일티 8p.jpg"</v>
      </c>
      <c r="Q166" s="13" t="s">
        <v>11</v>
      </c>
      <c r="R166" s="48" t="str">
        <f>VLOOKUP(Q166,'상품 분류코드'!$B$33:$D$35,3,0)</f>
        <v>"01"</v>
      </c>
      <c r="S166" s="34" t="s">
        <v>15</v>
      </c>
      <c r="T166" s="48" t="str">
        <f>VLOOKUP(S166,'상품 분류코드'!$B$4:$D$31,3,0)</f>
        <v>"0105"</v>
      </c>
    </row>
    <row r="167" spans="2:20" ht="17.399999999999999">
      <c r="B167" s="50">
        <v>163</v>
      </c>
      <c r="C167" s="50">
        <v>163</v>
      </c>
      <c r="D167" s="50" t="s">
        <v>362</v>
      </c>
      <c r="E167" s="50">
        <v>2690</v>
      </c>
      <c r="F167" s="50">
        <v>1</v>
      </c>
      <c r="G167" s="57" t="s">
        <v>334</v>
      </c>
      <c r="H167" s="50" t="s">
        <v>434</v>
      </c>
      <c r="I167" s="50" t="s">
        <v>267</v>
      </c>
      <c r="J167" s="50" t="s">
        <v>269</v>
      </c>
      <c r="K167" s="47">
        <v>1</v>
      </c>
      <c r="L167" s="47">
        <v>1</v>
      </c>
      <c r="M167" s="56" t="str">
        <f t="shared" si="4"/>
        <v>,(163,"액츠프리미엄젤 프레쉬 2.7L",2690,1,"","액츠프리미엄젤 프레쉬 2.7L.jpg","03","0302",1,1)</v>
      </c>
      <c r="O167" s="24" t="s">
        <v>398</v>
      </c>
      <c r="P167" s="48" t="str">
        <f t="shared" si="5"/>
        <v>"액츠프리미엄젤 프레쉬 2.7L.jpg"</v>
      </c>
      <c r="Q167" s="13" t="s">
        <v>6</v>
      </c>
      <c r="R167" s="48" t="str">
        <f>VLOOKUP(Q167,'상품 분류코드'!$B$33:$D$35,3,0)</f>
        <v>"03"</v>
      </c>
      <c r="S167" s="14" t="s">
        <v>237</v>
      </c>
      <c r="T167" s="48" t="str">
        <f>VLOOKUP(S167,'상품 분류코드'!$B$4:$D$31,3,0)</f>
        <v>"0302"</v>
      </c>
    </row>
    <row r="168" spans="2:20" ht="17.399999999999999">
      <c r="B168" s="50">
        <v>164</v>
      </c>
      <c r="C168" s="50">
        <v>164</v>
      </c>
      <c r="D168" s="50" t="s">
        <v>363</v>
      </c>
      <c r="E168" s="50">
        <v>4650</v>
      </c>
      <c r="F168" s="50">
        <v>1</v>
      </c>
      <c r="G168" s="57" t="s">
        <v>334</v>
      </c>
      <c r="H168" s="50" t="s">
        <v>435</v>
      </c>
      <c r="I168" s="50" t="s">
        <v>267</v>
      </c>
      <c r="J168" s="50" t="s">
        <v>269</v>
      </c>
      <c r="K168" s="47">
        <v>1</v>
      </c>
      <c r="L168" s="47">
        <v>1</v>
      </c>
      <c r="M168" s="56" t="str">
        <f t="shared" si="4"/>
        <v>,(164,"에코버 울세탁세제 허니듀 750ml",4650,1,"","에코버 울세탁세제 허니듀 750ml.jpg","03","0302",1,1)</v>
      </c>
      <c r="O168" s="24" t="s">
        <v>399</v>
      </c>
      <c r="P168" s="48" t="str">
        <f t="shared" si="5"/>
        <v>"에코버 울세탁세제 허니듀 750ml.jpg"</v>
      </c>
      <c r="Q168" s="13" t="s">
        <v>6</v>
      </c>
      <c r="R168" s="48" t="str">
        <f>VLOOKUP(Q168,'상품 분류코드'!$B$33:$D$35,3,0)</f>
        <v>"03"</v>
      </c>
      <c r="S168" s="14" t="s">
        <v>237</v>
      </c>
      <c r="T168" s="48" t="str">
        <f>VLOOKUP(S168,'상품 분류코드'!$B$4:$D$31,3,0)</f>
        <v>"0302"</v>
      </c>
    </row>
    <row r="169" spans="2:20" ht="17.399999999999999">
      <c r="B169" s="50">
        <v>165</v>
      </c>
      <c r="C169" s="50">
        <v>165</v>
      </c>
      <c r="D169" s="50" t="s">
        <v>364</v>
      </c>
      <c r="E169" s="50">
        <v>1300</v>
      </c>
      <c r="F169" s="50">
        <v>1</v>
      </c>
      <c r="G169" s="57" t="s">
        <v>334</v>
      </c>
      <c r="H169" s="50" t="s">
        <v>436</v>
      </c>
      <c r="I169" s="50" t="s">
        <v>267</v>
      </c>
      <c r="J169" s="50" t="s">
        <v>272</v>
      </c>
      <c r="K169" s="47">
        <v>1</v>
      </c>
      <c r="L169" s="47">
        <v>1</v>
      </c>
      <c r="M169" s="56" t="str">
        <f t="shared" si="4"/>
        <v>,(165,"엘지생활건강 히말라야 핑크솔트 담은 펌핑 치약 아이스 카밍 민트 285g",1300,1,"","엘지생활건강 히말라야 핑크솔트 담은 펌핑 치약 아이스 카밍 민트 285g.jpg","03","0305",1,1)</v>
      </c>
      <c r="O169" s="19" t="s">
        <v>400</v>
      </c>
      <c r="P169" s="48" t="str">
        <f t="shared" si="5"/>
        <v>"엘지생활건강 히말라야 핑크솔트 담은 펌핑 치약 아이스 카밍 민트 285g.jpg"</v>
      </c>
      <c r="Q169" s="13" t="s">
        <v>6</v>
      </c>
      <c r="R169" s="48" t="str">
        <f>VLOOKUP(Q169,'상품 분류코드'!$B$33:$D$35,3,0)</f>
        <v>"03"</v>
      </c>
      <c r="S169" s="14" t="s">
        <v>235</v>
      </c>
      <c r="T169" s="48" t="str">
        <f>VLOOKUP(S169,'상품 분류코드'!$B$4:$D$31,3,0)</f>
        <v>"0305"</v>
      </c>
    </row>
    <row r="170" spans="2:20" ht="17.399999999999999">
      <c r="B170" s="50">
        <v>166</v>
      </c>
      <c r="C170" s="50">
        <v>166</v>
      </c>
      <c r="D170" s="50" t="s">
        <v>365</v>
      </c>
      <c r="E170" s="50">
        <v>510</v>
      </c>
      <c r="F170" s="50">
        <v>20</v>
      </c>
      <c r="G170" s="57" t="s">
        <v>334</v>
      </c>
      <c r="H170" s="50" t="s">
        <v>437</v>
      </c>
      <c r="I170" s="50" t="s">
        <v>248</v>
      </c>
      <c r="J170" s="50" t="s">
        <v>249</v>
      </c>
      <c r="K170" s="47">
        <v>1</v>
      </c>
      <c r="L170" s="47">
        <v>1</v>
      </c>
      <c r="M170" s="56" t="str">
        <f t="shared" si="4"/>
        <v>,(166,"왕고래밥볶음양념맛",510,20,"","왕고래밥볶음양념맛.jpg","01","0101",1,1)</v>
      </c>
      <c r="O170" s="19" t="s">
        <v>401</v>
      </c>
      <c r="P170" s="48" t="str">
        <f t="shared" si="5"/>
        <v>"왕고래밥볶음양념맛.jpg"</v>
      </c>
      <c r="Q170" s="31" t="s">
        <v>11</v>
      </c>
      <c r="R170" s="48" t="str">
        <f>VLOOKUP(Q170,'상품 분류코드'!$B$33:$D$35,3,0)</f>
        <v>"01"</v>
      </c>
      <c r="S170" s="26" t="s">
        <v>12</v>
      </c>
      <c r="T170" s="48" t="str">
        <f>VLOOKUP(S170,'상품 분류코드'!$B$4:$D$31,3,0)</f>
        <v>"0101"</v>
      </c>
    </row>
    <row r="171" spans="2:20" ht="17.399999999999999">
      <c r="B171" s="50">
        <v>167</v>
      </c>
      <c r="C171" s="50">
        <v>167</v>
      </c>
      <c r="D171" s="50" t="s">
        <v>366</v>
      </c>
      <c r="E171" s="50">
        <v>3450</v>
      </c>
      <c r="F171" s="50">
        <v>1</v>
      </c>
      <c r="G171" s="57" t="s">
        <v>334</v>
      </c>
      <c r="H171" s="50" t="s">
        <v>438</v>
      </c>
      <c r="I171" s="50" t="s">
        <v>267</v>
      </c>
      <c r="J171" s="50" t="s">
        <v>273</v>
      </c>
      <c r="K171" s="47">
        <v>1</v>
      </c>
      <c r="L171" s="47">
        <v>1</v>
      </c>
      <c r="M171" s="56" t="str">
        <f t="shared" si="4"/>
        <v>,(167,"케라시스 러블리앤로맨틱 퍼퓸샴푸 980ml",3450,1,"","케라시스 러블리앤로맨틱 퍼퓸샴푸 980ml.jpg","03","0306",1,1)</v>
      </c>
      <c r="O171" s="24" t="s">
        <v>402</v>
      </c>
      <c r="P171" s="48" t="str">
        <f t="shared" si="5"/>
        <v>"케라시스 러블리앤로맨틱 퍼퓸샴푸 980ml.jpg"</v>
      </c>
      <c r="Q171" s="13" t="s">
        <v>6</v>
      </c>
      <c r="R171" s="48" t="str">
        <f>VLOOKUP(Q171,'상품 분류코드'!$B$33:$D$35,3,0)</f>
        <v>"03"</v>
      </c>
      <c r="S171" s="14" t="s">
        <v>239</v>
      </c>
      <c r="T171" s="48" t="str">
        <f>VLOOKUP(S171,'상품 분류코드'!$B$4:$D$31,3,0)</f>
        <v>"0306"</v>
      </c>
    </row>
    <row r="172" spans="2:20" ht="17.399999999999999">
      <c r="B172" s="50">
        <v>168</v>
      </c>
      <c r="C172" s="50">
        <v>168</v>
      </c>
      <c r="D172" s="50" t="s">
        <v>367</v>
      </c>
      <c r="E172" s="50">
        <v>14500</v>
      </c>
      <c r="F172" s="50">
        <v>1</v>
      </c>
      <c r="G172" s="57" t="s">
        <v>334</v>
      </c>
      <c r="H172" s="50" t="s">
        <v>439</v>
      </c>
      <c r="I172" s="50" t="s">
        <v>267</v>
      </c>
      <c r="J172" s="50" t="s">
        <v>275</v>
      </c>
      <c r="K172" s="47">
        <v>1</v>
      </c>
      <c r="L172" s="47">
        <v>1</v>
      </c>
      <c r="M172" s="56" t="str">
        <f t="shared" si="4"/>
        <v>,(168,"코오롱 ROKA 반팔티 런닝",14500,1,"","코오롱 ROKA 반팔티 런닝.jpg","03","0308",1,1)</v>
      </c>
      <c r="O172" s="24" t="s">
        <v>403</v>
      </c>
      <c r="P172" s="48" t="str">
        <f t="shared" si="5"/>
        <v>"코오롱 ROKA 반팔티 런닝.jpg"</v>
      </c>
      <c r="Q172" s="13" t="s">
        <v>6</v>
      </c>
      <c r="R172" s="48" t="str">
        <f>VLOOKUP(Q172,'상품 분류코드'!$B$33:$D$35,3,0)</f>
        <v>"03"</v>
      </c>
      <c r="S172" s="14" t="s">
        <v>242</v>
      </c>
      <c r="T172" s="48" t="str">
        <f>VLOOKUP(S172,'상품 분류코드'!$B$4:$D$31,3,0)</f>
        <v>"0308"</v>
      </c>
    </row>
    <row r="173" spans="2:20" ht="17.399999999999999">
      <c r="B173" s="50">
        <v>169</v>
      </c>
      <c r="C173" s="50">
        <v>169</v>
      </c>
      <c r="D173" s="50" t="s">
        <v>368</v>
      </c>
      <c r="E173" s="50">
        <v>12560</v>
      </c>
      <c r="F173" s="50">
        <v>1</v>
      </c>
      <c r="G173" s="57" t="s">
        <v>334</v>
      </c>
      <c r="H173" s="50" t="s">
        <v>440</v>
      </c>
      <c r="I173" s="50" t="s">
        <v>267</v>
      </c>
      <c r="J173" s="50" t="s">
        <v>275</v>
      </c>
      <c r="K173" s="47">
        <v>1</v>
      </c>
      <c r="L173" s="47">
        <v>1</v>
      </c>
      <c r="M173" s="56" t="str">
        <f t="shared" si="4"/>
        <v>,(169,"코오롱 ROKA 반팔티",12560,1,"","코오롱 ROKA 반팔티.jpg","03","0308",1,1)</v>
      </c>
      <c r="O173" s="27" t="s">
        <v>404</v>
      </c>
      <c r="P173" s="48" t="str">
        <f t="shared" si="5"/>
        <v>"코오롱 ROKA 반팔티.jpg"</v>
      </c>
      <c r="Q173" s="13" t="s">
        <v>6</v>
      </c>
      <c r="R173" s="48" t="str">
        <f>VLOOKUP(Q173,'상품 분류코드'!$B$33:$D$35,3,0)</f>
        <v>"03"</v>
      </c>
      <c r="S173" s="14" t="s">
        <v>242</v>
      </c>
      <c r="T173" s="48" t="str">
        <f>VLOOKUP(S173,'상품 분류코드'!$B$4:$D$31,3,0)</f>
        <v>"0308"</v>
      </c>
    </row>
    <row r="174" spans="2:20" ht="17.399999999999999">
      <c r="B174" s="50">
        <v>170</v>
      </c>
      <c r="C174" s="50">
        <v>170</v>
      </c>
      <c r="D174" s="50" t="s">
        <v>369</v>
      </c>
      <c r="E174" s="50">
        <v>8900</v>
      </c>
      <c r="F174" s="50">
        <v>1</v>
      </c>
      <c r="G174" s="57" t="s">
        <v>334</v>
      </c>
      <c r="H174" s="50" t="s">
        <v>441</v>
      </c>
      <c r="I174" s="50" t="s">
        <v>267</v>
      </c>
      <c r="J174" s="50" t="s">
        <v>269</v>
      </c>
      <c r="K174" s="47">
        <v>1</v>
      </c>
      <c r="L174" s="47">
        <v>1</v>
      </c>
      <c r="M174" s="56" t="str">
        <f t="shared" si="4"/>
        <v>,(170,"테크 특유취 제거 2.7L(일반용)",8900,1,"","테크 특유취 제거 2.7L(일반용).jpg","03","0302",1,1)</v>
      </c>
      <c r="O174" s="19" t="s">
        <v>405</v>
      </c>
      <c r="P174" s="48" t="str">
        <f t="shared" si="5"/>
        <v>"테크 특유취 제거 2.7L(일반용).jpg"</v>
      </c>
      <c r="Q174" s="13" t="s">
        <v>6</v>
      </c>
      <c r="R174" s="48" t="str">
        <f>VLOOKUP(Q174,'상품 분류코드'!$B$33:$D$35,3,0)</f>
        <v>"03"</v>
      </c>
      <c r="S174" s="14" t="s">
        <v>237</v>
      </c>
      <c r="T174" s="48" t="str">
        <f>VLOOKUP(S174,'상품 분류코드'!$B$4:$D$31,3,0)</f>
        <v>"0302"</v>
      </c>
    </row>
    <row r="175" spans="2:20" ht="17.399999999999999">
      <c r="B175" s="50">
        <v>171</v>
      </c>
      <c r="C175" s="50">
        <v>171</v>
      </c>
      <c r="D175" s="50" t="s">
        <v>370</v>
      </c>
      <c r="E175" s="50">
        <v>4480</v>
      </c>
      <c r="F175" s="50">
        <v>1</v>
      </c>
      <c r="G175" s="57" t="s">
        <v>334</v>
      </c>
      <c r="H175" s="50" t="s">
        <v>442</v>
      </c>
      <c r="I175" s="50" t="s">
        <v>267</v>
      </c>
      <c r="J175" s="50" t="s">
        <v>273</v>
      </c>
      <c r="K175" s="47">
        <v>1</v>
      </c>
      <c r="L175" s="47">
        <v>1</v>
      </c>
      <c r="M175" s="56" t="str">
        <f t="shared" si="4"/>
        <v>,(171,"티트리 퓨리파잉 토닉 100ml",4480,1,"","티트리 퓨리파잉 토닉 100ml.jpg","03","0306",1,1)</v>
      </c>
      <c r="O175" s="19" t="s">
        <v>406</v>
      </c>
      <c r="P175" s="48" t="str">
        <f t="shared" si="5"/>
        <v>"티트리 퓨리파잉 토닉 100ml.jpg"</v>
      </c>
      <c r="Q175" s="13" t="s">
        <v>6</v>
      </c>
      <c r="R175" s="48" t="str">
        <f>VLOOKUP(Q175,'상품 분류코드'!$B$33:$D$35,3,0)</f>
        <v>"03"</v>
      </c>
      <c r="S175" s="14" t="s">
        <v>239</v>
      </c>
      <c r="T175" s="48" t="str">
        <f>VLOOKUP(S175,'상품 분류코드'!$B$4:$D$31,3,0)</f>
        <v>"0306"</v>
      </c>
    </row>
    <row r="176" spans="2:20" ht="17.399999999999999">
      <c r="B176" s="50">
        <v>172</v>
      </c>
      <c r="C176" s="50">
        <v>172</v>
      </c>
      <c r="D176" s="50" t="s">
        <v>371</v>
      </c>
      <c r="E176" s="50">
        <v>9240</v>
      </c>
      <c r="F176" s="50">
        <v>1</v>
      </c>
      <c r="G176" s="57" t="s">
        <v>334</v>
      </c>
      <c r="H176" s="50" t="s">
        <v>443</v>
      </c>
      <c r="I176" s="50" t="s">
        <v>248</v>
      </c>
      <c r="J176" s="50" t="s">
        <v>259</v>
      </c>
      <c r="K176" s="47">
        <v>1</v>
      </c>
      <c r="L176" s="47">
        <v>1</v>
      </c>
      <c r="M176" s="56" t="str">
        <f t="shared" si="4"/>
        <v>,(172,"하이뮨 프로틴 밸런스",9240,1,"","하이뮨 프로틴 밸런스.jpg","01","0111",1,1)</v>
      </c>
      <c r="O176" s="27" t="s">
        <v>407</v>
      </c>
      <c r="P176" s="48" t="str">
        <f t="shared" si="5"/>
        <v>"하이뮨 프로틴 밸런스.jpg"</v>
      </c>
      <c r="Q176" s="26" t="s">
        <v>234</v>
      </c>
      <c r="R176" s="48" t="str">
        <f>VLOOKUP(Q176,'상품 분류코드'!$B$33:$D$35,3,0)</f>
        <v>"01"</v>
      </c>
      <c r="S176" s="26" t="s">
        <v>278</v>
      </c>
      <c r="T176" s="48" t="str">
        <f>VLOOKUP(S176,'상품 분류코드'!$B$4:$D$31,3,0)</f>
        <v>"0111"</v>
      </c>
    </row>
    <row r="177" spans="2:20" ht="17.399999999999999">
      <c r="B177" s="50">
        <v>173</v>
      </c>
      <c r="C177" s="50">
        <v>173</v>
      </c>
      <c r="D177" s="50" t="s">
        <v>372</v>
      </c>
      <c r="E177" s="50">
        <v>4210</v>
      </c>
      <c r="F177" s="50">
        <v>1</v>
      </c>
      <c r="G177" s="57" t="s">
        <v>334</v>
      </c>
      <c r="H177" s="50" t="s">
        <v>444</v>
      </c>
      <c r="I177" s="50" t="s">
        <v>267</v>
      </c>
      <c r="J177" s="50" t="s">
        <v>272</v>
      </c>
      <c r="K177" s="47">
        <v>1</v>
      </c>
      <c r="L177" s="47">
        <v>1</v>
      </c>
      <c r="M177" s="56" t="str">
        <f t="shared" si="4"/>
        <v>,(173,"히말라야 핑크솔트 담은 칫솔",4210,1,"","히말라야 핑크솔트 담은 칫솔.jpg","03","0305",1,1)</v>
      </c>
      <c r="O177" s="27" t="s">
        <v>408</v>
      </c>
      <c r="P177" s="48" t="str">
        <f t="shared" si="5"/>
        <v>"히말라야 핑크솔트 담은 칫솔.jpg"</v>
      </c>
      <c r="Q177" s="13" t="s">
        <v>6</v>
      </c>
      <c r="R177" s="48" t="str">
        <f>VLOOKUP(Q177,'상품 분류코드'!$B$33:$D$35,3,0)</f>
        <v>"03"</v>
      </c>
      <c r="S177" s="14" t="s">
        <v>235</v>
      </c>
      <c r="T177" s="48" t="str">
        <f>VLOOKUP(S177,'상품 분류코드'!$B$4:$D$31,3,0)</f>
        <v>"0305"</v>
      </c>
    </row>
    <row r="178" spans="2:20" ht="17.399999999999999">
      <c r="B178" s="50">
        <v>174</v>
      </c>
      <c r="C178" s="50">
        <v>174</v>
      </c>
      <c r="D178" s="50" t="s">
        <v>373</v>
      </c>
      <c r="E178" s="50">
        <v>5700</v>
      </c>
      <c r="F178" s="50">
        <v>1</v>
      </c>
      <c r="G178" s="57" t="s">
        <v>334</v>
      </c>
      <c r="H178" s="50" t="s">
        <v>445</v>
      </c>
      <c r="I178" s="50" t="s">
        <v>260</v>
      </c>
      <c r="J178" s="50" t="s">
        <v>863</v>
      </c>
      <c r="K178" s="47">
        <v>1</v>
      </c>
      <c r="L178" s="47">
        <v>1</v>
      </c>
      <c r="M178" s="56" t="str">
        <f t="shared" si="4"/>
        <v>,(174,"듀이트리 울트라 바이탈라이징 스네일 에멀전, 150ml",5700,1,"","듀이트리 울트라 바이탈라이징 스네일 에멀전, 150ml.jpg","02","0207",1,1)</v>
      </c>
      <c r="O178" s="27" t="s">
        <v>409</v>
      </c>
      <c r="P178" s="48" t="str">
        <f t="shared" si="5"/>
        <v>"듀이트리 울트라 바이탈라이징 스네일 에멀전, 150ml.jpg"</v>
      </c>
      <c r="Q178" s="13" t="s">
        <v>17</v>
      </c>
      <c r="R178" s="48" t="str">
        <f>VLOOKUP(Q178,'상품 분류코드'!$B$33:$D$35,3,0)</f>
        <v>"02"</v>
      </c>
      <c r="S178" s="14" t="s">
        <v>861</v>
      </c>
      <c r="T178" s="48" t="str">
        <f>VLOOKUP(S178,'상품 분류코드'!$B$4:$D$31,3,0)</f>
        <v>"0207"</v>
      </c>
    </row>
    <row r="179" spans="2:20" ht="17.399999999999999"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 t="s">
        <v>871</v>
      </c>
    </row>
  </sheetData>
  <mergeCells count="1">
    <mergeCell ref="C2:L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4FC78-B1B4-4C3F-ACF8-996D205629C2}">
  <dimension ref="B2:I35"/>
  <sheetViews>
    <sheetView topLeftCell="A4" zoomScaleNormal="100" workbookViewId="0">
      <selection activeCell="G31" sqref="G21:G31"/>
    </sheetView>
  </sheetViews>
  <sheetFormatPr defaultRowHeight="15.6"/>
  <cols>
    <col min="1" max="2" width="8.88671875" style="41"/>
    <col min="3" max="3" width="24.88671875" style="41" bestFit="1" customWidth="1"/>
    <col min="4" max="4" width="16.5546875" style="41" bestFit="1" customWidth="1"/>
    <col min="5" max="5" width="21.109375" style="41" bestFit="1" customWidth="1"/>
    <col min="6" max="7" width="19.44140625" style="41" bestFit="1" customWidth="1"/>
    <col min="8" max="9" width="21.6640625" style="41" bestFit="1" customWidth="1"/>
    <col min="10" max="16384" width="8.88671875" style="41"/>
  </cols>
  <sheetData>
    <row r="2" spans="2:9" ht="17.399999999999999">
      <c r="C2" s="40" t="s">
        <v>306</v>
      </c>
      <c r="D2" s="40" t="s">
        <v>307</v>
      </c>
      <c r="E2" s="40" t="s">
        <v>308</v>
      </c>
      <c r="F2" s="40" t="s">
        <v>309</v>
      </c>
      <c r="G2" s="40" t="s">
        <v>310</v>
      </c>
      <c r="H2" s="40" t="s">
        <v>311</v>
      </c>
      <c r="I2" s="40" t="s">
        <v>312</v>
      </c>
    </row>
    <row r="3" spans="2:9" ht="17.399999999999999">
      <c r="C3" s="40" t="s">
        <v>314</v>
      </c>
      <c r="D3" s="40" t="s">
        <v>315</v>
      </c>
      <c r="E3" s="40" t="s">
        <v>316</v>
      </c>
      <c r="F3" s="40" t="s">
        <v>317</v>
      </c>
      <c r="G3" s="40" t="s">
        <v>318</v>
      </c>
      <c r="H3" s="40" t="s">
        <v>319</v>
      </c>
      <c r="I3" s="40" t="s">
        <v>320</v>
      </c>
    </row>
    <row r="4" spans="2:9">
      <c r="B4" s="41" t="str">
        <f>SUBSTITUTE(E4,"""","")</f>
        <v>과자</v>
      </c>
      <c r="C4" s="52" t="s">
        <v>276</v>
      </c>
      <c r="D4" s="42" t="s">
        <v>249</v>
      </c>
      <c r="E4" s="52" t="s">
        <v>280</v>
      </c>
      <c r="F4" s="52" t="s">
        <v>856</v>
      </c>
      <c r="G4" s="52">
        <v>1</v>
      </c>
      <c r="H4" s="52">
        <v>1</v>
      </c>
      <c r="I4" s="52">
        <v>1</v>
      </c>
    </row>
    <row r="5" spans="2:9">
      <c r="B5" s="41" t="str">
        <f>SUBSTITUTE(E5,"""","")</f>
        <v>음료</v>
      </c>
      <c r="C5" s="52" t="s">
        <v>276</v>
      </c>
      <c r="D5" s="42" t="s">
        <v>250</v>
      </c>
      <c r="E5" s="53" t="s">
        <v>281</v>
      </c>
      <c r="F5" s="52" t="s">
        <v>856</v>
      </c>
      <c r="G5" s="52">
        <v>2</v>
      </c>
      <c r="H5" s="52">
        <v>1</v>
      </c>
      <c r="I5" s="52">
        <v>1</v>
      </c>
    </row>
    <row r="6" spans="2:9">
      <c r="B6" s="41" t="str">
        <f>SUBSTITUTE(E6,"""","")</f>
        <v>즉석밥</v>
      </c>
      <c r="C6" s="52" t="s">
        <v>276</v>
      </c>
      <c r="D6" s="42" t="s">
        <v>251</v>
      </c>
      <c r="E6" s="53" t="s">
        <v>282</v>
      </c>
      <c r="F6" s="52" t="s">
        <v>856</v>
      </c>
      <c r="G6" s="52">
        <v>3</v>
      </c>
      <c r="H6" s="52">
        <v>1</v>
      </c>
      <c r="I6" s="52">
        <v>1</v>
      </c>
    </row>
    <row r="7" spans="2:9">
      <c r="B7" s="41" t="str">
        <f>SUBSTITUTE(E7,"""","")</f>
        <v>라면</v>
      </c>
      <c r="C7" s="52" t="s">
        <v>276</v>
      </c>
      <c r="D7" s="42" t="s">
        <v>252</v>
      </c>
      <c r="E7" s="53" t="s">
        <v>283</v>
      </c>
      <c r="F7" s="52" t="s">
        <v>856</v>
      </c>
      <c r="G7" s="52">
        <v>4</v>
      </c>
      <c r="H7" s="52">
        <v>1</v>
      </c>
      <c r="I7" s="52">
        <v>1</v>
      </c>
    </row>
    <row r="8" spans="2:9">
      <c r="B8" s="41" t="str">
        <f>SUBSTITUTE(E8,"""","")</f>
        <v>차</v>
      </c>
      <c r="C8" s="52" t="s">
        <v>276</v>
      </c>
      <c r="D8" s="42" t="s">
        <v>253</v>
      </c>
      <c r="E8" s="53" t="s">
        <v>284</v>
      </c>
      <c r="F8" s="52" t="s">
        <v>856</v>
      </c>
      <c r="G8" s="52">
        <v>5</v>
      </c>
      <c r="H8" s="52">
        <v>1</v>
      </c>
      <c r="I8" s="52">
        <v>1</v>
      </c>
    </row>
    <row r="9" spans="2:9">
      <c r="B9" s="41" t="str">
        <f>SUBSTITUTE(E9,"""","")</f>
        <v>캔디</v>
      </c>
      <c r="C9" s="52" t="s">
        <v>276</v>
      </c>
      <c r="D9" s="42" t="s">
        <v>254</v>
      </c>
      <c r="E9" s="53" t="s">
        <v>285</v>
      </c>
      <c r="F9" s="52" t="s">
        <v>856</v>
      </c>
      <c r="G9" s="52">
        <v>6</v>
      </c>
      <c r="H9" s="52">
        <v>1</v>
      </c>
      <c r="I9" s="52">
        <v>1</v>
      </c>
    </row>
    <row r="10" spans="2:9">
      <c r="B10" s="41" t="str">
        <f>SUBSTITUTE(E10,"""","")</f>
        <v>기타</v>
      </c>
      <c r="C10" s="52" t="s">
        <v>276</v>
      </c>
      <c r="D10" s="42" t="s">
        <v>255</v>
      </c>
      <c r="E10" s="53" t="s">
        <v>286</v>
      </c>
      <c r="F10" s="52" t="s">
        <v>856</v>
      </c>
      <c r="G10" s="52">
        <v>7</v>
      </c>
      <c r="H10" s="52">
        <v>1</v>
      </c>
      <c r="I10" s="52">
        <v>1</v>
      </c>
    </row>
    <row r="11" spans="2:9">
      <c r="B11" s="41" t="str">
        <f>SUBSTITUTE(E11,"""","")</f>
        <v>소세지</v>
      </c>
      <c r="C11" s="52" t="s">
        <v>276</v>
      </c>
      <c r="D11" s="42" t="s">
        <v>256</v>
      </c>
      <c r="E11" s="53" t="s">
        <v>287</v>
      </c>
      <c r="F11" s="52" t="s">
        <v>856</v>
      </c>
      <c r="G11" s="52">
        <v>8</v>
      </c>
      <c r="H11" s="52">
        <v>1</v>
      </c>
      <c r="I11" s="52">
        <v>1</v>
      </c>
    </row>
    <row r="12" spans="2:9">
      <c r="B12" s="41" t="str">
        <f>SUBSTITUTE(E12,"""","")</f>
        <v>쉐이크</v>
      </c>
      <c r="C12" s="52" t="s">
        <v>276</v>
      </c>
      <c r="D12" s="42" t="s">
        <v>257</v>
      </c>
      <c r="E12" s="53" t="s">
        <v>288</v>
      </c>
      <c r="F12" s="52" t="s">
        <v>856</v>
      </c>
      <c r="G12" s="52">
        <v>9</v>
      </c>
      <c r="H12" s="52">
        <v>1</v>
      </c>
      <c r="I12" s="52">
        <v>1</v>
      </c>
    </row>
    <row r="13" spans="2:9">
      <c r="B13" s="41" t="str">
        <f>SUBSTITUTE(E13,"""","")</f>
        <v>소스</v>
      </c>
      <c r="C13" s="52" t="s">
        <v>276</v>
      </c>
      <c r="D13" s="42" t="s">
        <v>258</v>
      </c>
      <c r="E13" s="53" t="s">
        <v>289</v>
      </c>
      <c r="F13" s="52" t="s">
        <v>856</v>
      </c>
      <c r="G13" s="52">
        <v>10</v>
      </c>
      <c r="H13" s="52">
        <v>1</v>
      </c>
      <c r="I13" s="52">
        <v>1</v>
      </c>
    </row>
    <row r="14" spans="2:9">
      <c r="B14" s="41" t="str">
        <f>SUBSTITUTE(E14,"""","")</f>
        <v>건강</v>
      </c>
      <c r="C14" s="52" t="s">
        <v>276</v>
      </c>
      <c r="D14" s="42" t="s">
        <v>259</v>
      </c>
      <c r="E14" s="53" t="s">
        <v>290</v>
      </c>
      <c r="F14" s="52" t="s">
        <v>856</v>
      </c>
      <c r="G14" s="52">
        <v>11</v>
      </c>
      <c r="H14" s="52">
        <v>1</v>
      </c>
      <c r="I14" s="52">
        <v>1</v>
      </c>
    </row>
    <row r="15" spans="2:9">
      <c r="B15" s="41" t="str">
        <f>SUBSTITUTE(E15,"""","")</f>
        <v>마스크팩</v>
      </c>
      <c r="C15" s="52" t="s">
        <v>276</v>
      </c>
      <c r="D15" s="42" t="s">
        <v>261</v>
      </c>
      <c r="E15" s="53" t="s">
        <v>291</v>
      </c>
      <c r="F15" s="52" t="s">
        <v>856</v>
      </c>
      <c r="G15" s="52">
        <v>12</v>
      </c>
      <c r="H15" s="52">
        <v>1</v>
      </c>
      <c r="I15" s="52">
        <v>1</v>
      </c>
    </row>
    <row r="16" spans="2:9">
      <c r="B16" s="41" t="str">
        <f>SUBSTITUTE(E16,"""","")</f>
        <v>선크림</v>
      </c>
      <c r="C16" s="52" t="s">
        <v>276</v>
      </c>
      <c r="D16" s="42" t="s">
        <v>262</v>
      </c>
      <c r="E16" s="53" t="s">
        <v>292</v>
      </c>
      <c r="F16" s="52" t="s">
        <v>856</v>
      </c>
      <c r="G16" s="52">
        <v>13</v>
      </c>
      <c r="H16" s="52">
        <v>1</v>
      </c>
      <c r="I16" s="52">
        <v>1</v>
      </c>
    </row>
    <row r="17" spans="2:9">
      <c r="B17" s="41" t="str">
        <f>SUBSTITUTE(E17,"""","")</f>
        <v>아이크림</v>
      </c>
      <c r="C17" s="52" t="s">
        <v>276</v>
      </c>
      <c r="D17" s="42" t="s">
        <v>263</v>
      </c>
      <c r="E17" s="53" t="s">
        <v>293</v>
      </c>
      <c r="F17" s="52" t="s">
        <v>856</v>
      </c>
      <c r="G17" s="52">
        <v>14</v>
      </c>
      <c r="H17" s="52">
        <v>1</v>
      </c>
      <c r="I17" s="52">
        <v>1</v>
      </c>
    </row>
    <row r="18" spans="2:9">
      <c r="B18" s="41" t="str">
        <f>SUBSTITUTE(E18,"""","")</f>
        <v>영양크림</v>
      </c>
      <c r="C18" s="52" t="s">
        <v>276</v>
      </c>
      <c r="D18" s="42" t="s">
        <v>264</v>
      </c>
      <c r="E18" s="53" t="s">
        <v>294</v>
      </c>
      <c r="F18" s="52" t="s">
        <v>856</v>
      </c>
      <c r="G18" s="52">
        <v>15</v>
      </c>
      <c r="H18" s="52">
        <v>1</v>
      </c>
      <c r="I18" s="52">
        <v>1</v>
      </c>
    </row>
    <row r="19" spans="2:9">
      <c r="B19" s="41" t="str">
        <f>SUBSTITUTE(E19,"""","")</f>
        <v>폼클렌징</v>
      </c>
      <c r="C19" s="52" t="s">
        <v>276</v>
      </c>
      <c r="D19" s="42" t="s">
        <v>265</v>
      </c>
      <c r="E19" s="53" t="s">
        <v>295</v>
      </c>
      <c r="F19" s="52" t="s">
        <v>856</v>
      </c>
      <c r="G19" s="52">
        <v>16</v>
      </c>
      <c r="H19" s="52">
        <v>1</v>
      </c>
      <c r="I19" s="52">
        <v>1</v>
      </c>
    </row>
    <row r="20" spans="2:9">
      <c r="B20" s="41" t="str">
        <f>SUBSTITUTE(E20,"""","")</f>
        <v>토너</v>
      </c>
      <c r="C20" s="52" t="s">
        <v>276</v>
      </c>
      <c r="D20" s="42" t="s">
        <v>266</v>
      </c>
      <c r="E20" s="53" t="s">
        <v>296</v>
      </c>
      <c r="F20" s="52" t="s">
        <v>856</v>
      </c>
      <c r="G20" s="52">
        <v>17</v>
      </c>
      <c r="H20" s="52">
        <v>1</v>
      </c>
      <c r="I20" s="52">
        <v>1</v>
      </c>
    </row>
    <row r="21" spans="2:9">
      <c r="B21" s="41" t="str">
        <f t="shared" ref="B21:B23" si="0">SUBSTITUTE(E21,"""","")</f>
        <v>로션/에멀전</v>
      </c>
      <c r="C21" s="52" t="s">
        <v>276</v>
      </c>
      <c r="D21" s="42" t="s">
        <v>863</v>
      </c>
      <c r="E21" s="53" t="s">
        <v>868</v>
      </c>
      <c r="F21" s="52" t="s">
        <v>856</v>
      </c>
      <c r="G21" s="52">
        <v>18</v>
      </c>
      <c r="H21" s="52">
        <v>1</v>
      </c>
      <c r="I21" s="52">
        <v>1</v>
      </c>
    </row>
    <row r="22" spans="2:9">
      <c r="B22" s="41" t="str">
        <f t="shared" si="0"/>
        <v>에센스/세럼/앰플</v>
      </c>
      <c r="C22" s="52" t="s">
        <v>276</v>
      </c>
      <c r="D22" s="42" t="s">
        <v>864</v>
      </c>
      <c r="E22" s="53" t="s">
        <v>869</v>
      </c>
      <c r="F22" s="52" t="s">
        <v>856</v>
      </c>
      <c r="G22" s="52">
        <v>19</v>
      </c>
      <c r="H22" s="52">
        <v>1</v>
      </c>
      <c r="I22" s="52">
        <v>1</v>
      </c>
    </row>
    <row r="23" spans="2:9">
      <c r="B23" s="41" t="str">
        <f t="shared" si="0"/>
        <v>기타</v>
      </c>
      <c r="C23" s="52" t="s">
        <v>276</v>
      </c>
      <c r="D23" s="42" t="s">
        <v>867</v>
      </c>
      <c r="E23" s="53" t="s">
        <v>286</v>
      </c>
      <c r="F23" s="52" t="s">
        <v>856</v>
      </c>
      <c r="G23" s="52">
        <v>20</v>
      </c>
      <c r="H23" s="52">
        <v>1</v>
      </c>
      <c r="I23" s="52">
        <v>1</v>
      </c>
    </row>
    <row r="24" spans="2:9">
      <c r="B24" s="41" t="str">
        <f>SUBSTITUTE(E24,"""","")</f>
        <v>디퓨저</v>
      </c>
      <c r="C24" s="52" t="s">
        <v>276</v>
      </c>
      <c r="D24" s="42" t="s">
        <v>268</v>
      </c>
      <c r="E24" s="53" t="s">
        <v>297</v>
      </c>
      <c r="F24" s="52" t="s">
        <v>856</v>
      </c>
      <c r="G24" s="52">
        <v>21</v>
      </c>
      <c r="H24" s="52">
        <v>1</v>
      </c>
      <c r="I24" s="52">
        <v>1</v>
      </c>
    </row>
    <row r="25" spans="2:9">
      <c r="B25" s="41" t="str">
        <f>SUBSTITUTE(E25,"""","")</f>
        <v>세탁</v>
      </c>
      <c r="C25" s="52" t="s">
        <v>276</v>
      </c>
      <c r="D25" s="42" t="s">
        <v>269</v>
      </c>
      <c r="E25" s="53" t="s">
        <v>298</v>
      </c>
      <c r="F25" s="52" t="s">
        <v>856</v>
      </c>
      <c r="G25" s="52">
        <v>22</v>
      </c>
      <c r="H25" s="52">
        <v>1</v>
      </c>
      <c r="I25" s="52">
        <v>1</v>
      </c>
    </row>
    <row r="26" spans="2:9">
      <c r="B26" s="41" t="str">
        <f>SUBSTITUTE(E26,"""","")</f>
        <v>안마기</v>
      </c>
      <c r="C26" s="52" t="s">
        <v>276</v>
      </c>
      <c r="D26" s="42" t="s">
        <v>270</v>
      </c>
      <c r="E26" s="53" t="s">
        <v>299</v>
      </c>
      <c r="F26" s="52" t="s">
        <v>856</v>
      </c>
      <c r="G26" s="52">
        <v>23</v>
      </c>
      <c r="H26" s="52">
        <v>1</v>
      </c>
      <c r="I26" s="52">
        <v>1</v>
      </c>
    </row>
    <row r="27" spans="2:9">
      <c r="B27" s="41" t="str">
        <f>SUBSTITUTE(E27,"""","")</f>
        <v>면도기</v>
      </c>
      <c r="C27" s="52" t="s">
        <v>276</v>
      </c>
      <c r="D27" s="42" t="s">
        <v>271</v>
      </c>
      <c r="E27" s="53" t="s">
        <v>300</v>
      </c>
      <c r="F27" s="52" t="s">
        <v>856</v>
      </c>
      <c r="G27" s="52">
        <v>24</v>
      </c>
      <c r="H27" s="52">
        <v>1</v>
      </c>
      <c r="I27" s="52">
        <v>1</v>
      </c>
    </row>
    <row r="28" spans="2:9">
      <c r="B28" s="41" t="str">
        <f>SUBSTITUTE(E28,"""","")</f>
        <v>구강</v>
      </c>
      <c r="C28" s="52" t="s">
        <v>276</v>
      </c>
      <c r="D28" s="42" t="s">
        <v>272</v>
      </c>
      <c r="E28" s="53" t="s">
        <v>301</v>
      </c>
      <c r="F28" s="52" t="s">
        <v>856</v>
      </c>
      <c r="G28" s="52">
        <v>25</v>
      </c>
      <c r="H28" s="52">
        <v>1</v>
      </c>
      <c r="I28" s="52">
        <v>1</v>
      </c>
    </row>
    <row r="29" spans="2:9">
      <c r="B29" s="41" t="str">
        <f>SUBSTITUTE(E29,"""","")</f>
        <v>두피</v>
      </c>
      <c r="C29" s="52" t="s">
        <v>276</v>
      </c>
      <c r="D29" s="42" t="s">
        <v>273</v>
      </c>
      <c r="E29" s="53" t="s">
        <v>302</v>
      </c>
      <c r="F29" s="52" t="s">
        <v>856</v>
      </c>
      <c r="G29" s="52">
        <v>26</v>
      </c>
      <c r="H29" s="52">
        <v>1</v>
      </c>
      <c r="I29" s="52">
        <v>1</v>
      </c>
    </row>
    <row r="30" spans="2:9">
      <c r="B30" s="41" t="str">
        <f>SUBSTITUTE(E30,"""","")</f>
        <v>바디</v>
      </c>
      <c r="C30" s="52" t="s">
        <v>276</v>
      </c>
      <c r="D30" s="42" t="s">
        <v>274</v>
      </c>
      <c r="E30" s="53" t="s">
        <v>303</v>
      </c>
      <c r="F30" s="52" t="s">
        <v>856</v>
      </c>
      <c r="G30" s="52">
        <v>27</v>
      </c>
      <c r="H30" s="52">
        <v>1</v>
      </c>
      <c r="I30" s="52">
        <v>1</v>
      </c>
    </row>
    <row r="31" spans="2:9">
      <c r="B31" s="41" t="str">
        <f>SUBSTITUTE(E31,"""","")</f>
        <v>의류</v>
      </c>
      <c r="C31" s="52" t="s">
        <v>276</v>
      </c>
      <c r="D31" s="42" t="s">
        <v>275</v>
      </c>
      <c r="E31" s="53" t="s">
        <v>304</v>
      </c>
      <c r="F31" s="52" t="s">
        <v>856</v>
      </c>
      <c r="G31" s="52">
        <v>28</v>
      </c>
      <c r="H31" s="52">
        <v>1</v>
      </c>
      <c r="I31" s="52">
        <v>1</v>
      </c>
    </row>
    <row r="33" spans="2:9">
      <c r="B33" s="41" t="str">
        <f>SUBSTITUTE(E33,"""","")</f>
        <v>식품</v>
      </c>
      <c r="C33" s="53" t="s">
        <v>857</v>
      </c>
      <c r="D33" s="53" t="s">
        <v>248</v>
      </c>
      <c r="E33" s="53" t="s">
        <v>858</v>
      </c>
      <c r="F33" s="53" t="s">
        <v>856</v>
      </c>
      <c r="G33" s="52">
        <v>1</v>
      </c>
      <c r="H33" s="53">
        <v>1</v>
      </c>
      <c r="I33" s="53">
        <v>1</v>
      </c>
    </row>
    <row r="34" spans="2:9">
      <c r="B34" s="41" t="str">
        <f>SUBSTITUTE(E34,"""","")</f>
        <v>화장품</v>
      </c>
      <c r="C34" s="53" t="s">
        <v>857</v>
      </c>
      <c r="D34" s="53" t="s">
        <v>260</v>
      </c>
      <c r="E34" s="53" t="s">
        <v>859</v>
      </c>
      <c r="F34" s="53" t="s">
        <v>856</v>
      </c>
      <c r="G34" s="52">
        <v>2</v>
      </c>
      <c r="H34" s="53">
        <v>1</v>
      </c>
      <c r="I34" s="53">
        <v>1</v>
      </c>
    </row>
    <row r="35" spans="2:9">
      <c r="B35" s="41" t="str">
        <f>SUBSTITUTE(E35,"""","")</f>
        <v>기타</v>
      </c>
      <c r="C35" s="53" t="s">
        <v>857</v>
      </c>
      <c r="D35" s="53" t="s">
        <v>267</v>
      </c>
      <c r="E35" s="53" t="s">
        <v>286</v>
      </c>
      <c r="F35" s="53" t="s">
        <v>856</v>
      </c>
      <c r="G35" s="52">
        <v>3</v>
      </c>
      <c r="H35" s="53">
        <v>1</v>
      </c>
      <c r="I35" s="53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분류</vt:lpstr>
      <vt:lpstr>상품_251030</vt:lpstr>
      <vt:lpstr>상품DB</vt:lpstr>
      <vt:lpstr>상품 분류코드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상민 김</cp:lastModifiedBy>
  <dcterms:modified xsi:type="dcterms:W3CDTF">2025-11-16T23:10:38Z</dcterms:modified>
</cp:coreProperties>
</file>