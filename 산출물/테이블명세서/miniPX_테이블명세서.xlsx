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SangMin\git\miniPX\산출물\테이블명세서\"/>
    </mc:Choice>
  </mc:AlternateContent>
  <xr:revisionPtr revIDLastSave="0" documentId="13_ncr:1_{DF5DC2AA-24B9-4E55-85D8-E8BF499A1FC8}" xr6:coauthVersionLast="47" xr6:coauthVersionMax="47" xr10:uidLastSave="{00000000-0000-0000-0000-000000000000}"/>
  <bookViews>
    <workbookView xWindow="-108" yWindow="-108" windowWidth="23256" windowHeight="12576" tabRatio="722" activeTab="4" xr2:uid="{C65CB968-5333-48BF-B9BC-AA4409770CFC}"/>
  </bookViews>
  <sheets>
    <sheet name="개정이력" sheetId="7" r:id="rId1"/>
    <sheet name="테이블 정의_공통" sheetId="4" r:id="rId2"/>
    <sheet name="테이블 정의_비즈니스" sheetId="9" r:id="rId3"/>
    <sheet name="용어 사전" sheetId="3" r:id="rId4"/>
    <sheet name="PDF추출시트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3" i="10" l="1"/>
  <c r="C203" i="10"/>
  <c r="F202" i="10"/>
  <c r="C202" i="10"/>
  <c r="F168" i="10"/>
  <c r="C168" i="10"/>
  <c r="F151" i="10"/>
  <c r="C151" i="10"/>
  <c r="F150" i="10"/>
  <c r="C150" i="10"/>
  <c r="F134" i="10"/>
  <c r="C134" i="10"/>
  <c r="F133" i="10"/>
  <c r="C133" i="10"/>
  <c r="F55" i="10"/>
  <c r="C55" i="10"/>
  <c r="F54" i="10"/>
  <c r="C54" i="10"/>
  <c r="F37" i="10"/>
  <c r="C37" i="10"/>
  <c r="J173" i="9"/>
  <c r="J172" i="9"/>
  <c r="J171" i="9"/>
  <c r="J170" i="9"/>
  <c r="J169" i="9"/>
  <c r="J168" i="9"/>
  <c r="J167" i="9"/>
  <c r="J166" i="9"/>
  <c r="J165" i="9"/>
  <c r="J164" i="9"/>
  <c r="J163" i="9"/>
  <c r="J162" i="9"/>
  <c r="J161" i="9"/>
  <c r="J100" i="9"/>
  <c r="J101" i="9"/>
  <c r="J102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81" i="9"/>
  <c r="J98" i="9"/>
  <c r="J99" i="9"/>
  <c r="J107" i="9"/>
  <c r="J106" i="9"/>
  <c r="J105" i="9"/>
  <c r="J104" i="9"/>
  <c r="J103" i="9"/>
  <c r="J97" i="9"/>
  <c r="J96" i="9"/>
  <c r="J95" i="9"/>
  <c r="J94" i="9"/>
  <c r="J93" i="9"/>
  <c r="J92" i="9"/>
  <c r="J91" i="9"/>
  <c r="J90" i="9"/>
  <c r="J89" i="9"/>
  <c r="J88" i="9"/>
  <c r="J86" i="9"/>
  <c r="J85" i="9"/>
  <c r="J84" i="9"/>
  <c r="J83" i="9"/>
  <c r="J82" i="9"/>
  <c r="J80" i="9"/>
  <c r="J79" i="9"/>
  <c r="J78" i="9"/>
  <c r="J77" i="9"/>
  <c r="J76" i="9"/>
  <c r="J75" i="9"/>
  <c r="J74" i="9"/>
  <c r="J11" i="4"/>
  <c r="J10" i="4"/>
  <c r="J61" i="9" l="1"/>
  <c r="J64" i="9"/>
  <c r="J60" i="9"/>
  <c r="J72" i="9"/>
  <c r="J71" i="9"/>
  <c r="J70" i="9"/>
  <c r="J69" i="9"/>
  <c r="J68" i="9"/>
  <c r="J67" i="9"/>
  <c r="J66" i="9"/>
  <c r="J65" i="9"/>
  <c r="J63" i="9"/>
  <c r="J62" i="9"/>
  <c r="J59" i="9"/>
  <c r="J58" i="9"/>
  <c r="J57" i="9"/>
  <c r="J56" i="9"/>
  <c r="J55" i="9"/>
  <c r="F35" i="9"/>
  <c r="J35" i="9" s="1"/>
  <c r="F34" i="9"/>
  <c r="J34" i="9" s="1"/>
  <c r="C35" i="9"/>
  <c r="C34" i="9"/>
  <c r="J33" i="9" s="1"/>
  <c r="J36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2" i="9"/>
  <c r="J31" i="9"/>
  <c r="J30" i="9"/>
  <c r="J29" i="9"/>
  <c r="J28" i="9"/>
  <c r="J27" i="9"/>
  <c r="J26" i="9"/>
  <c r="J25" i="9"/>
  <c r="J24" i="9"/>
  <c r="J23" i="9"/>
  <c r="J22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F161" i="4" l="1"/>
  <c r="J161" i="4" s="1"/>
  <c r="J162" i="4"/>
  <c r="C161" i="4"/>
  <c r="J160" i="4" s="1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88" i="4" l="1"/>
  <c r="J86" i="4"/>
  <c r="J18" i="4"/>
  <c r="J74" i="4"/>
  <c r="J63" i="4"/>
  <c r="J64" i="4"/>
  <c r="J134" i="4"/>
  <c r="J135" i="4"/>
  <c r="J136" i="4"/>
  <c r="J137" i="4"/>
  <c r="J138" i="4"/>
  <c r="J139" i="4"/>
  <c r="J140" i="4"/>
  <c r="J133" i="4"/>
  <c r="J119" i="4"/>
  <c r="J120" i="4"/>
  <c r="J121" i="4"/>
  <c r="J122" i="4"/>
  <c r="J123" i="4"/>
  <c r="J118" i="4"/>
  <c r="J106" i="4"/>
  <c r="J107" i="4"/>
  <c r="J108" i="4"/>
  <c r="J109" i="4"/>
  <c r="J110" i="4"/>
  <c r="J111" i="4"/>
  <c r="J112" i="4"/>
  <c r="J105" i="4"/>
  <c r="J85" i="4"/>
  <c r="J87" i="4"/>
  <c r="J89" i="4"/>
  <c r="J90" i="4"/>
  <c r="J91" i="4"/>
  <c r="J92" i="4"/>
  <c r="J94" i="4"/>
  <c r="J93" i="4"/>
  <c r="J95" i="4"/>
  <c r="J96" i="4"/>
  <c r="J97" i="4"/>
  <c r="J98" i="4"/>
  <c r="J99" i="4"/>
  <c r="J84" i="4"/>
  <c r="J73" i="4"/>
  <c r="J75" i="4"/>
  <c r="J76" i="4"/>
  <c r="J77" i="4"/>
  <c r="J78" i="4"/>
  <c r="J72" i="4"/>
  <c r="J62" i="4"/>
  <c r="J65" i="4"/>
  <c r="J66" i="4"/>
  <c r="J61" i="4"/>
  <c r="J44" i="4"/>
  <c r="J45" i="4"/>
  <c r="J46" i="4"/>
  <c r="J47" i="4"/>
  <c r="J48" i="4"/>
  <c r="J49" i="4"/>
  <c r="J50" i="4"/>
  <c r="J51" i="4"/>
  <c r="J43" i="4"/>
  <c r="J29" i="4"/>
  <c r="J30" i="4"/>
  <c r="J31" i="4"/>
  <c r="J32" i="4"/>
  <c r="J33" i="4"/>
  <c r="J34" i="4"/>
  <c r="J28" i="4"/>
  <c r="J7" i="4"/>
  <c r="J8" i="4"/>
  <c r="J9" i="4"/>
  <c r="J12" i="4"/>
  <c r="J13" i="4"/>
  <c r="J14" i="4"/>
  <c r="J15" i="4"/>
  <c r="J16" i="4"/>
  <c r="J17" i="4"/>
  <c r="J19" i="4"/>
  <c r="J20" i="4"/>
  <c r="J21" i="4"/>
  <c r="J22" i="4"/>
  <c r="J6" i="4"/>
  <c r="J141" i="4" l="1"/>
  <c r="J124" i="4"/>
  <c r="J113" i="4"/>
  <c r="J100" i="4"/>
  <c r="J79" i="4"/>
  <c r="J67" i="4"/>
  <c r="J52" i="4"/>
  <c r="J35" i="4"/>
  <c r="J145" i="4"/>
  <c r="F144" i="4"/>
  <c r="C144" i="4"/>
  <c r="F143" i="4"/>
  <c r="C143" i="4"/>
  <c r="J132" i="4"/>
  <c r="J131" i="4"/>
  <c r="J130" i="4"/>
  <c r="F127" i="4"/>
  <c r="F126" i="4"/>
  <c r="C126" i="4"/>
  <c r="J128" i="4"/>
  <c r="C127" i="4"/>
  <c r="J117" i="4"/>
  <c r="J116" i="4"/>
  <c r="J115" i="4"/>
  <c r="J104" i="4"/>
  <c r="J103" i="4"/>
  <c r="J102" i="4"/>
  <c r="J83" i="4"/>
  <c r="J82" i="4"/>
  <c r="J81" i="4"/>
  <c r="J71" i="4"/>
  <c r="J70" i="4"/>
  <c r="J69" i="4"/>
  <c r="J60" i="4"/>
  <c r="J59" i="4"/>
  <c r="J58" i="4"/>
  <c r="J56" i="4"/>
  <c r="F55" i="4"/>
  <c r="J55" i="4" s="1"/>
  <c r="C55" i="4"/>
  <c r="F54" i="4"/>
  <c r="C54" i="4"/>
  <c r="J53" i="4" s="1"/>
  <c r="J42" i="4"/>
  <c r="J41" i="4"/>
  <c r="J40" i="4"/>
  <c r="J38" i="4"/>
  <c r="F37" i="4"/>
  <c r="J37" i="4" s="1"/>
  <c r="C37" i="4"/>
  <c r="J36" i="4" s="1"/>
  <c r="J27" i="4"/>
  <c r="J26" i="4"/>
  <c r="J25" i="4"/>
  <c r="J23" i="4"/>
  <c r="J5" i="4"/>
  <c r="J4" i="4"/>
  <c r="J3" i="4"/>
  <c r="J144" i="4" l="1"/>
  <c r="J142" i="4"/>
  <c r="J143" i="4"/>
  <c r="J126" i="4"/>
  <c r="J125" i="4"/>
  <c r="J127" i="4"/>
  <c r="J54" i="4"/>
</calcChain>
</file>

<file path=xl/sharedStrings.xml><?xml version="1.0" encoding="utf-8"?>
<sst xmlns="http://schemas.openxmlformats.org/spreadsheetml/2006/main" count="3205" uniqueCount="401">
  <si>
    <t>의미</t>
    <phoneticPr fontId="1" type="noConversion"/>
  </si>
  <si>
    <t>물리명</t>
    <phoneticPr fontId="1" type="noConversion"/>
  </si>
  <si>
    <t>_DT</t>
    <phoneticPr fontId="1" type="noConversion"/>
  </si>
  <si>
    <t>논리명</t>
    <phoneticPr fontId="1" type="noConversion"/>
  </si>
  <si>
    <t>날짜(yyyymmdd)</t>
    <phoneticPr fontId="1" type="noConversion"/>
  </si>
  <si>
    <t>~일</t>
    <phoneticPr fontId="1" type="noConversion"/>
  </si>
  <si>
    <t>_DTTI</t>
    <phoneticPr fontId="1" type="noConversion"/>
  </si>
  <si>
    <t>~일시</t>
    <phoneticPr fontId="1" type="noConversion"/>
  </si>
  <si>
    <t>날짜 및 시간(yyyymmdd hh:MM:ss)</t>
    <phoneticPr fontId="1" type="noConversion"/>
  </si>
  <si>
    <t>_ID</t>
    <phoneticPr fontId="1" type="noConversion"/>
  </si>
  <si>
    <t>_SEQ</t>
    <phoneticPr fontId="1" type="noConversion"/>
  </si>
  <si>
    <t>시퀀스를 사용하지 않는 키 컬럼</t>
    <phoneticPr fontId="1" type="noConversion"/>
  </si>
  <si>
    <t>시퀀스를 사용하는 키 컬럼</t>
    <phoneticPr fontId="1" type="noConversion"/>
  </si>
  <si>
    <t>_CODE</t>
    <phoneticPr fontId="1" type="noConversion"/>
  </si>
  <si>
    <t>코드 테이블을 참조하는 컬럼</t>
    <phoneticPr fontId="1" type="noConversion"/>
  </si>
  <si>
    <t>_YN</t>
    <phoneticPr fontId="1" type="noConversion"/>
  </si>
  <si>
    <t>YN형식으로 관리되는 컬럼</t>
    <phoneticPr fontId="1" type="noConversion"/>
  </si>
  <si>
    <t>분류</t>
    <phoneticPr fontId="1" type="noConversion"/>
  </si>
  <si>
    <t>형식 지정</t>
    <phoneticPr fontId="1" type="noConversion"/>
  </si>
  <si>
    <t>타입</t>
    <phoneticPr fontId="1" type="noConversion"/>
  </si>
  <si>
    <t>VARCHAR(8)</t>
    <phoneticPr fontId="1" type="noConversion"/>
  </si>
  <si>
    <t>TIMESTAMP</t>
    <phoneticPr fontId="1" type="noConversion"/>
  </si>
  <si>
    <t>기본값</t>
    <phoneticPr fontId="1" type="noConversion"/>
  </si>
  <si>
    <t>CHAR(1)</t>
    <phoneticPr fontId="1" type="noConversion"/>
  </si>
  <si>
    <t>VARCHAR(10)</t>
    <phoneticPr fontId="1" type="noConversion"/>
  </si>
  <si>
    <t>VARCHAR(30)</t>
    <phoneticPr fontId="1" type="noConversion"/>
  </si>
  <si>
    <t>컬럼 정보</t>
    <phoneticPr fontId="1" type="noConversion"/>
  </si>
  <si>
    <t>NOW()</t>
    <phoneticPr fontId="1" type="noConversion"/>
  </si>
  <si>
    <t>테이블 정의서</t>
    <phoneticPr fontId="1" type="noConversion"/>
  </si>
  <si>
    <t>작성자</t>
    <phoneticPr fontId="1" type="noConversion"/>
  </si>
  <si>
    <t>작성일</t>
    <phoneticPr fontId="1" type="noConversion"/>
  </si>
  <si>
    <t>테이블 정의</t>
    <phoneticPr fontId="1" type="noConversion"/>
  </si>
  <si>
    <t>번호</t>
    <phoneticPr fontId="1" type="noConversion"/>
  </si>
  <si>
    <t>타입(길이)</t>
    <phoneticPr fontId="1" type="noConversion"/>
  </si>
  <si>
    <t>PK</t>
    <phoneticPr fontId="1" type="noConversion"/>
  </si>
  <si>
    <t>NULL 허용 여부</t>
    <phoneticPr fontId="1" type="noConversion"/>
  </si>
  <si>
    <t>코멘트</t>
    <phoneticPr fontId="1" type="noConversion"/>
  </si>
  <si>
    <t>사용자</t>
    <phoneticPr fontId="1" type="noConversion"/>
  </si>
  <si>
    <t>김상민</t>
    <phoneticPr fontId="1" type="noConversion"/>
  </si>
  <si>
    <t>사용자 정보 관리</t>
    <phoneticPr fontId="1" type="noConversion"/>
  </si>
  <si>
    <t>NOT NULL</t>
  </si>
  <si>
    <t>NOT NULL</t>
    <phoneticPr fontId="1" type="noConversion"/>
  </si>
  <si>
    <t>NULL</t>
  </si>
  <si>
    <t>NULL</t>
    <phoneticPr fontId="1" type="noConversion"/>
  </si>
  <si>
    <t>인덱스명</t>
    <phoneticPr fontId="1" type="noConversion"/>
  </si>
  <si>
    <t>인덱스 컬럼</t>
    <phoneticPr fontId="1" type="noConversion"/>
  </si>
  <si>
    <t>VARCHAR(20)</t>
    <phoneticPr fontId="1" type="noConversion"/>
  </si>
  <si>
    <t>VARCHAR(300)</t>
  </si>
  <si>
    <t>VARCHAR(2)</t>
  </si>
  <si>
    <t>TIMESTAMP</t>
  </si>
  <si>
    <t>FST_REG_DTTI</t>
  </si>
  <si>
    <t>이름</t>
  </si>
  <si>
    <t>비밀번호 최종수정일시</t>
  </si>
  <si>
    <t>이전 비밀번호</t>
  </si>
  <si>
    <t>비밀번호 오입력 횟수</t>
  </si>
  <si>
    <t>최초등록일시</t>
  </si>
  <si>
    <t>최종수정일시</t>
  </si>
  <si>
    <t>최종수정일시</t>
    <phoneticPr fontId="1" type="noConversion"/>
  </si>
  <si>
    <t/>
  </si>
  <si>
    <t>NOW()</t>
  </si>
  <si>
    <t>'0'</t>
  </si>
  <si>
    <t>코드 그룹 정보 관리</t>
    <phoneticPr fontId="1" type="noConversion"/>
  </si>
  <si>
    <t>CODE_GROUP_NM</t>
    <phoneticPr fontId="1" type="noConversion"/>
  </si>
  <si>
    <t>VARCHAR(150)</t>
  </si>
  <si>
    <t>VARCHAR(150)</t>
    <phoneticPr fontId="1" type="noConversion"/>
  </si>
  <si>
    <t>코드 상세 정보 관리</t>
    <phoneticPr fontId="1" type="noConversion"/>
  </si>
  <si>
    <t>CODE_GROUP</t>
    <phoneticPr fontId="1" type="noConversion"/>
  </si>
  <si>
    <t>VARCHAR(10)</t>
  </si>
  <si>
    <t>CODE_DETAIL</t>
    <phoneticPr fontId="1" type="noConversion"/>
  </si>
  <si>
    <t>_ORDER</t>
  </si>
  <si>
    <t>데이터 표시 순서</t>
    <phoneticPr fontId="1" type="noConversion"/>
  </si>
  <si>
    <t>로그인 로그 정보 관리</t>
    <phoneticPr fontId="1" type="noConversion"/>
  </si>
  <si>
    <t>VARCHAR(39)</t>
  </si>
  <si>
    <t>LOGIN_DTTI</t>
  </si>
  <si>
    <t>로그인일시</t>
  </si>
  <si>
    <t>사용자아이피</t>
  </si>
  <si>
    <t>로그인코드</t>
  </si>
  <si>
    <t>사용자아이디</t>
    <phoneticPr fontId="1" type="noConversion"/>
  </si>
  <si>
    <t>사용자비밀번호</t>
    <phoneticPr fontId="1" type="noConversion"/>
  </si>
  <si>
    <t>비밀번호최종수정일시</t>
    <phoneticPr fontId="1" type="noConversion"/>
  </si>
  <si>
    <t>코드그룹</t>
    <phoneticPr fontId="1" type="noConversion"/>
  </si>
  <si>
    <t>코드그룹명</t>
    <phoneticPr fontId="1" type="noConversion"/>
  </si>
  <si>
    <t>비밀번호 오입력 횟수</t>
    <phoneticPr fontId="1" type="noConversion"/>
  </si>
  <si>
    <t>비밀번호 초기화 여부</t>
    <phoneticPr fontId="1" type="noConversion"/>
  </si>
  <si>
    <t>코드상세정렬순서</t>
    <phoneticPr fontId="1" type="noConversion"/>
  </si>
  <si>
    <t>로그인일련번호</t>
    <phoneticPr fontId="1" type="noConversion"/>
  </si>
  <si>
    <t>INT</t>
  </si>
  <si>
    <t>~여부</t>
    <phoneticPr fontId="1" type="noConversion"/>
  </si>
  <si>
    <t>~일련번호</t>
    <phoneticPr fontId="1" type="noConversion"/>
  </si>
  <si>
    <t>~식별자</t>
    <phoneticPr fontId="1" type="noConversion"/>
  </si>
  <si>
    <t>~코드</t>
    <phoneticPr fontId="1" type="noConversion"/>
  </si>
  <si>
    <t>~표시순서</t>
    <phoneticPr fontId="1" type="noConversion"/>
  </si>
  <si>
    <t>INT(2)</t>
    <phoneticPr fontId="1" type="noConversion"/>
  </si>
  <si>
    <t>LOGIN_SEQ</t>
    <phoneticPr fontId="1" type="noConversion"/>
  </si>
  <si>
    <t>CODE_DETAIL_NM</t>
    <phoneticPr fontId="1" type="noConversion"/>
  </si>
  <si>
    <t>코드상세명</t>
    <phoneticPr fontId="1" type="noConversion"/>
  </si>
  <si>
    <t>코드상세</t>
    <phoneticPr fontId="1" type="noConversion"/>
  </si>
  <si>
    <t>코드수정가능여부</t>
    <phoneticPr fontId="1" type="noConversion"/>
  </si>
  <si>
    <t>서버에 발생한 요청 기록 관리</t>
    <phoneticPr fontId="1" type="noConversion"/>
  </si>
  <si>
    <t>REQ_SEQ</t>
    <phoneticPr fontId="1" type="noConversion"/>
  </si>
  <si>
    <t>요청일련번호</t>
    <phoneticPr fontId="1" type="noConversion"/>
  </si>
  <si>
    <t>REQ_DTTI</t>
    <phoneticPr fontId="1" type="noConversion"/>
  </si>
  <si>
    <t>요청일시</t>
    <phoneticPr fontId="1" type="noConversion"/>
  </si>
  <si>
    <t>요청경로</t>
    <phoneticPr fontId="1" type="noConversion"/>
  </si>
  <si>
    <t>요청파라미터</t>
    <phoneticPr fontId="1" type="noConversion"/>
  </si>
  <si>
    <t>VARCHAR(100)</t>
    <phoneticPr fontId="1" type="noConversion"/>
  </si>
  <si>
    <t>LONGTEXT</t>
    <phoneticPr fontId="1" type="noConversion"/>
  </si>
  <si>
    <t>REQ_TYPE_CODE</t>
    <phoneticPr fontId="1" type="noConversion"/>
  </si>
  <si>
    <t>요청타입코드</t>
    <phoneticPr fontId="1" type="noConversion"/>
  </si>
  <si>
    <t>요청로그</t>
    <phoneticPr fontId="1" type="noConversion"/>
  </si>
  <si>
    <t>로그인로그</t>
    <phoneticPr fontId="1" type="noConversion"/>
  </si>
  <si>
    <t>메뉴</t>
    <phoneticPr fontId="1" type="noConversion"/>
  </si>
  <si>
    <t>시스템 메뉴 관리</t>
    <phoneticPr fontId="1" type="noConversion"/>
  </si>
  <si>
    <t>메뉴경로</t>
    <phoneticPr fontId="1" type="noConversion"/>
  </si>
  <si>
    <t>MNU_NM</t>
    <phoneticPr fontId="1" type="noConversion"/>
  </si>
  <si>
    <t>메뉴명</t>
    <phoneticPr fontId="1" type="noConversion"/>
  </si>
  <si>
    <t>메뉴노출여부</t>
    <phoneticPr fontId="1" type="noConversion"/>
  </si>
  <si>
    <t>"Y"</t>
    <phoneticPr fontId="1" type="noConversion"/>
  </si>
  <si>
    <t>메뉴레벨</t>
    <phoneticPr fontId="1" type="noConversion"/>
  </si>
  <si>
    <t>메뉴정보</t>
    <phoneticPr fontId="1" type="noConversion"/>
  </si>
  <si>
    <t>메뉴표시순서</t>
    <phoneticPr fontId="1" type="noConversion"/>
  </si>
  <si>
    <t>_RMRK</t>
    <phoneticPr fontId="1" type="noConversion"/>
  </si>
  <si>
    <t>~비고</t>
    <phoneticPr fontId="1" type="noConversion"/>
  </si>
  <si>
    <t>데이터 관련 비고내용</t>
    <phoneticPr fontId="1" type="noConversion"/>
  </si>
  <si>
    <t>VARCHAR(3000)</t>
    <phoneticPr fontId="1" type="noConversion"/>
  </si>
  <si>
    <t>메뉴비고</t>
    <phoneticPr fontId="1" type="noConversion"/>
  </si>
  <si>
    <t>INT(1)</t>
    <phoneticPr fontId="1" type="noConversion"/>
  </si>
  <si>
    <t>사용자비고</t>
    <phoneticPr fontId="1" type="noConversion"/>
  </si>
  <si>
    <t>최초등록자아이디</t>
    <phoneticPr fontId="1" type="noConversion"/>
  </si>
  <si>
    <t>최종수정자아이디</t>
    <phoneticPr fontId="1" type="noConversion"/>
  </si>
  <si>
    <t>MNU_SEQ</t>
    <phoneticPr fontId="1" type="noConversion"/>
  </si>
  <si>
    <t>메뉴일련번호</t>
    <phoneticPr fontId="1" type="noConversion"/>
  </si>
  <si>
    <t>ROLE_SEQ</t>
    <phoneticPr fontId="1" type="noConversion"/>
  </si>
  <si>
    <t>ROLE_NM</t>
    <phoneticPr fontId="1" type="noConversion"/>
  </si>
  <si>
    <t>권한그룹일련번호</t>
    <phoneticPr fontId="1" type="noConversion"/>
  </si>
  <si>
    <t>권한그룹명</t>
    <phoneticPr fontId="1" type="noConversion"/>
  </si>
  <si>
    <t>권한그룹</t>
    <phoneticPr fontId="1" type="noConversion"/>
  </si>
  <si>
    <t>권한그룹표시순서</t>
    <phoneticPr fontId="1" type="noConversion"/>
  </si>
  <si>
    <t>권한그룹비고</t>
    <phoneticPr fontId="1" type="noConversion"/>
  </si>
  <si>
    <t>사용자_권한그룹_매핑</t>
    <phoneticPr fontId="1" type="noConversion"/>
  </si>
  <si>
    <t>시스템 권한그룹 관리</t>
    <phoneticPr fontId="1" type="noConversion"/>
  </si>
  <si>
    <t>시스템 사용자와 권한그룹 연결</t>
    <phoneticPr fontId="1" type="noConversion"/>
  </si>
  <si>
    <t>권한</t>
    <phoneticPr fontId="1" type="noConversion"/>
  </si>
  <si>
    <t>메뉴에 대한 권한그룹의 읽기, 쓰기 권한 관리</t>
    <phoneticPr fontId="1" type="noConversion"/>
  </si>
  <si>
    <t>AUTH_GRADE</t>
    <phoneticPr fontId="1" type="noConversion"/>
  </si>
  <si>
    <t>권한등급</t>
    <phoneticPr fontId="1" type="noConversion"/>
  </si>
  <si>
    <t>AUTH_NM</t>
    <phoneticPr fontId="1" type="noConversion"/>
  </si>
  <si>
    <t>권한명</t>
    <phoneticPr fontId="1" type="noConversion"/>
  </si>
  <si>
    <t>_NM</t>
    <phoneticPr fontId="1" type="noConversion"/>
  </si>
  <si>
    <t>~명</t>
    <phoneticPr fontId="1" type="noConversion"/>
  </si>
  <si>
    <t>값에 대한 한글 표기</t>
    <phoneticPr fontId="1" type="noConversion"/>
  </si>
  <si>
    <t>VARCHAR(300)</t>
    <phoneticPr fontId="1" type="noConversion"/>
  </si>
  <si>
    <t>권한등급(1:읽기, 2:읽기/쓰기, 3:기타권한1, 4:기타권한2 ...)</t>
    <phoneticPr fontId="1" type="noConversion"/>
  </si>
  <si>
    <t>권한명(1:읽기, 2:읽기/쓰기, 3:기타권한1, 4:기타권한2 ...)</t>
    <phoneticPr fontId="1" type="noConversion"/>
  </si>
  <si>
    <t>RMRK</t>
  </si>
  <si>
    <t>IP</t>
  </si>
  <si>
    <t>URL</t>
  </si>
  <si>
    <t>AUTH_YN</t>
  </si>
  <si>
    <t>URI</t>
    <phoneticPr fontId="1" type="noConversion"/>
  </si>
  <si>
    <t>PARAM</t>
    <phoneticPr fontId="1" type="noConversion"/>
  </si>
  <si>
    <t>USER_ID</t>
    <phoneticPr fontId="1" type="noConversion"/>
  </si>
  <si>
    <t>USER_PW</t>
    <phoneticPr fontId="1" type="noConversion"/>
  </si>
  <si>
    <t>MNU_LV</t>
    <phoneticPr fontId="1" type="noConversion"/>
  </si>
  <si>
    <t>ROLE_ORDER</t>
    <phoneticPr fontId="1" type="noConversion"/>
  </si>
  <si>
    <t>MNU_ORDER</t>
    <phoneticPr fontId="1" type="noConversion"/>
  </si>
  <si>
    <t>RMRK</t>
    <phoneticPr fontId="1" type="noConversion"/>
  </si>
  <si>
    <t>권한검사여부</t>
    <phoneticPr fontId="1" type="noConversion"/>
  </si>
  <si>
    <t>USE_YN</t>
    <phoneticPr fontId="1" type="noConversion"/>
  </si>
  <si>
    <t>사용여부</t>
    <phoneticPr fontId="1" type="noConversion"/>
  </si>
  <si>
    <t>VARCHAR(1)</t>
    <phoneticPr fontId="1" type="noConversion"/>
  </si>
  <si>
    <t>'Y'</t>
    <phoneticPr fontId="1" type="noConversion"/>
  </si>
  <si>
    <t>PRICE</t>
    <phoneticPr fontId="1" type="noConversion"/>
  </si>
  <si>
    <t>가격</t>
    <phoneticPr fontId="1" type="noConversion"/>
  </si>
  <si>
    <t>INT</t>
    <phoneticPr fontId="1" type="noConversion"/>
  </si>
  <si>
    <t>상품명</t>
    <phoneticPr fontId="1" type="noConversion"/>
  </si>
  <si>
    <t>CNT</t>
    <phoneticPr fontId="1" type="noConversion"/>
  </si>
  <si>
    <t>'01'</t>
    <phoneticPr fontId="1" type="noConversion"/>
  </si>
  <si>
    <t>비밀번호 초기화 여부</t>
    <phoneticPr fontId="1" type="noConversion"/>
  </si>
  <si>
    <t>RMRK</t>
    <phoneticPr fontId="1" type="noConversion"/>
  </si>
  <si>
    <t>'Y'</t>
    <phoneticPr fontId="1" type="noConversion"/>
  </si>
  <si>
    <t>비고</t>
    <phoneticPr fontId="1" type="noConversion"/>
  </si>
  <si>
    <t>USER_NM</t>
    <phoneticPr fontId="1" type="noConversion"/>
  </si>
  <si>
    <t>사용자명</t>
    <phoneticPr fontId="1" type="noConversion"/>
  </si>
  <si>
    <t>상품</t>
    <phoneticPr fontId="1" type="noConversion"/>
  </si>
  <si>
    <t>ITEM_SEQ</t>
    <phoneticPr fontId="1" type="noConversion"/>
  </si>
  <si>
    <t>상품일련번호</t>
    <phoneticPr fontId="1" type="noConversion"/>
  </si>
  <si>
    <t>ITEM_NM</t>
    <phoneticPr fontId="1" type="noConversion"/>
  </si>
  <si>
    <t>IMG</t>
    <phoneticPr fontId="1" type="noConversion"/>
  </si>
  <si>
    <t>이미지</t>
    <phoneticPr fontId="1" type="noConversion"/>
  </si>
  <si>
    <t>이미지 파일명</t>
    <phoneticPr fontId="1" type="noConversion"/>
  </si>
  <si>
    <t>장바구니</t>
    <phoneticPr fontId="1" type="noConversion"/>
  </si>
  <si>
    <t>개수</t>
    <phoneticPr fontId="1" type="noConversion"/>
  </si>
  <si>
    <t>USER_SEQ</t>
    <phoneticPr fontId="1" type="noConversion"/>
  </si>
  <si>
    <t>사용자일련번호</t>
    <phoneticPr fontId="1" type="noConversion"/>
  </si>
  <si>
    <t>AUTO_INCREMENT</t>
    <phoneticPr fontId="1" type="noConversion"/>
  </si>
  <si>
    <t>FST_REG_SEQ</t>
  </si>
  <si>
    <t>FST_REG_SEQ</t>
    <phoneticPr fontId="1" type="noConversion"/>
  </si>
  <si>
    <t>최초등록자일련번호</t>
  </si>
  <si>
    <t>최종수정자일련번호</t>
  </si>
  <si>
    <t>ITEM_TYPE_CODE</t>
    <phoneticPr fontId="1" type="noConversion"/>
  </si>
  <si>
    <t>상품 분류코드</t>
    <phoneticPr fontId="1" type="noConversion"/>
  </si>
  <si>
    <t>ITEM_DTL_TYPE_CODE</t>
    <phoneticPr fontId="1" type="noConversion"/>
  </si>
  <si>
    <t>상품 상세 분류코드</t>
    <phoneticPr fontId="1" type="noConversion"/>
  </si>
  <si>
    <t>판매단위</t>
    <phoneticPr fontId="1" type="noConversion"/>
  </si>
  <si>
    <t>UNIT</t>
    <phoneticPr fontId="1" type="noConversion"/>
  </si>
  <si>
    <t>주문</t>
    <phoneticPr fontId="1" type="noConversion"/>
  </si>
  <si>
    <t>주문 정보 관리</t>
    <phoneticPr fontId="1" type="noConversion"/>
  </si>
  <si>
    <t>장바구니 정보 관리</t>
    <phoneticPr fontId="1" type="noConversion"/>
  </si>
  <si>
    <t>상품 정보 관리</t>
    <phoneticPr fontId="1" type="noConversion"/>
  </si>
  <si>
    <t>주문상태코드</t>
    <phoneticPr fontId="1" type="noConversion"/>
  </si>
  <si>
    <t>ORDER_STATUS_CODE</t>
    <phoneticPr fontId="1" type="noConversion"/>
  </si>
  <si>
    <t>상품 1개 판매 가격</t>
    <phoneticPr fontId="1" type="noConversion"/>
  </si>
  <si>
    <t>SOLD_OUT_YN</t>
    <phoneticPr fontId="1" type="noConversion"/>
  </si>
  <si>
    <t>품절여부</t>
    <phoneticPr fontId="1" type="noConversion"/>
  </si>
  <si>
    <t>'N'</t>
    <phoneticPr fontId="1" type="noConversion"/>
  </si>
  <si>
    <t>최초등록자일련번호</t>
    <phoneticPr fontId="1" type="noConversion"/>
  </si>
  <si>
    <t>컴퍼넌트명</t>
    <phoneticPr fontId="1" type="noConversion"/>
  </si>
  <si>
    <t>COMPNT_NM</t>
    <phoneticPr fontId="1" type="noConversion"/>
  </si>
  <si>
    <t>MNU_INFO</t>
    <phoneticPr fontId="1" type="noConversion"/>
  </si>
  <si>
    <t>MNU_RMRK</t>
    <phoneticPr fontId="1" type="noConversion"/>
  </si>
  <si>
    <t>UPPER_MNU_SEQ</t>
    <phoneticPr fontId="1" type="noConversion"/>
  </si>
  <si>
    <t>상위메뉴일련번호</t>
    <phoneticPr fontId="1" type="noConversion"/>
  </si>
  <si>
    <t>OPEN_YN</t>
    <phoneticPr fontId="1" type="noConversion"/>
  </si>
  <si>
    <t>COMPNT_PATH</t>
    <phoneticPr fontId="1" type="noConversion"/>
  </si>
  <si>
    <t>컴퍼넌트경로</t>
    <phoneticPr fontId="1" type="noConversion"/>
  </si>
  <si>
    <t>버전</t>
    <phoneticPr fontId="1" type="noConversion"/>
  </si>
  <si>
    <t>변경 내용</t>
    <phoneticPr fontId="1" type="noConversion"/>
  </si>
  <si>
    <t>최초 작성</t>
    <phoneticPr fontId="1" type="noConversion"/>
  </si>
  <si>
    <t>메뉴 테이블 변경</t>
    <phoneticPr fontId="1" type="noConversion"/>
  </si>
  <si>
    <t>토큰</t>
    <phoneticPr fontId="1" type="noConversion"/>
  </si>
  <si>
    <t>토큰 정보 관리</t>
    <phoneticPr fontId="1" type="noConversion"/>
  </si>
  <si>
    <t>TOKEN</t>
    <phoneticPr fontId="1" type="noConversion"/>
  </si>
  <si>
    <t>만료일시</t>
    <phoneticPr fontId="1" type="noConversion"/>
  </si>
  <si>
    <t>CREATE_DTTI</t>
    <phoneticPr fontId="1" type="noConversion"/>
  </si>
  <si>
    <t>EXPIRY_DTTI</t>
    <phoneticPr fontId="1" type="noConversion"/>
  </si>
  <si>
    <t>생성일시</t>
    <phoneticPr fontId="1" type="noConversion"/>
  </si>
  <si>
    <t>DEVICE_INFO</t>
    <phoneticPr fontId="1" type="noConversion"/>
  </si>
  <si>
    <t>기기정보</t>
    <phoneticPr fontId="1" type="noConversion"/>
  </si>
  <si>
    <t>FST_REG_DTTI</t>
    <phoneticPr fontId="1" type="noConversion"/>
  </si>
  <si>
    <t>LST_UPD_DTTI</t>
  </si>
  <si>
    <t>LST_UPD_DTTI</t>
    <phoneticPr fontId="1" type="noConversion"/>
  </si>
  <si>
    <t>LST_UPD_SEQ</t>
  </si>
  <si>
    <t>MODIFY_YN</t>
    <phoneticPr fontId="1" type="noConversion"/>
  </si>
  <si>
    <t>DETAIL_ORDER</t>
    <phoneticPr fontId="1" type="noConversion"/>
  </si>
  <si>
    <t>이행 데이터_상품 추가</t>
    <phoneticPr fontId="1" type="noConversion"/>
  </si>
  <si>
    <t>메뉴 테이블 데이터 변경</t>
    <phoneticPr fontId="1" type="noConversion"/>
  </si>
  <si>
    <t>ORDER_STATUS_DTL</t>
    <phoneticPr fontId="1" type="noConversion"/>
  </si>
  <si>
    <t>주문상태상세</t>
    <phoneticPr fontId="1" type="noConversion"/>
  </si>
  <si>
    <t>ORDER_SEQ</t>
    <phoneticPr fontId="1" type="noConversion"/>
  </si>
  <si>
    <t>주문일련번호</t>
    <phoneticPr fontId="1" type="noConversion"/>
  </si>
  <si>
    <t>ORDER_DTTI</t>
    <phoneticPr fontId="1" type="noConversion"/>
  </si>
  <si>
    <t>주문일시</t>
    <phoneticPr fontId="1" type="noConversion"/>
  </si>
  <si>
    <t>신규상품주문</t>
    <phoneticPr fontId="1" type="noConversion"/>
  </si>
  <si>
    <t>신규상품주문 정보 관리</t>
    <phoneticPr fontId="1" type="noConversion"/>
  </si>
  <si>
    <t>NEW_ORDER_SEQ</t>
    <phoneticPr fontId="1" type="noConversion"/>
  </si>
  <si>
    <t>신규상품주문일련번호</t>
    <phoneticPr fontId="1" type="noConversion"/>
  </si>
  <si>
    <t>NEW_ORDER_DTL</t>
    <phoneticPr fontId="1" type="noConversion"/>
  </si>
  <si>
    <t>신규상품주문상세</t>
    <phoneticPr fontId="1" type="noConversion"/>
  </si>
  <si>
    <t>신규상품주문상세 설명</t>
    <phoneticPr fontId="1" type="noConversion"/>
  </si>
  <si>
    <t>테이블명 소문자로 변경</t>
    <phoneticPr fontId="1" type="noConversion"/>
  </si>
  <si>
    <t>tb_user</t>
    <phoneticPr fontId="1" type="noConversion"/>
  </si>
  <si>
    <t>tb_code_group</t>
    <phoneticPr fontId="1" type="noConversion"/>
  </si>
  <si>
    <t>tb_code_detail</t>
    <phoneticPr fontId="1" type="noConversion"/>
  </si>
  <si>
    <t>tb_log_login</t>
    <phoneticPr fontId="1" type="noConversion"/>
  </si>
  <si>
    <t>tb_log_req</t>
    <phoneticPr fontId="1" type="noConversion"/>
  </si>
  <si>
    <t>tb_mnu</t>
    <phoneticPr fontId="1" type="noConversion"/>
  </si>
  <si>
    <t>tb_role</t>
    <phoneticPr fontId="1" type="noConversion"/>
  </si>
  <si>
    <t>tb_user_role_map</t>
    <phoneticPr fontId="1" type="noConversion"/>
  </si>
  <si>
    <t>tb_auth</t>
    <phoneticPr fontId="1" type="noConversion"/>
  </si>
  <si>
    <t>tb_token</t>
    <phoneticPr fontId="1" type="noConversion"/>
  </si>
  <si>
    <t>tb_item</t>
    <phoneticPr fontId="1" type="noConversion"/>
  </si>
  <si>
    <t>tb_basket</t>
    <phoneticPr fontId="1" type="noConversion"/>
  </si>
  <si>
    <t>tb_order</t>
    <phoneticPr fontId="1" type="noConversion"/>
  </si>
  <si>
    <t>tb_new_order</t>
    <phoneticPr fontId="1" type="noConversion"/>
  </si>
  <si>
    <t>주문상태코드(01:구매요청, 02:배송중, 03:미결제, 04:송금완료, 11:구매완료, 12:품절, 91:취소)</t>
    <phoneticPr fontId="1" type="noConversion"/>
  </si>
  <si>
    <t>PW_ERR_CNT</t>
    <phoneticPr fontId="1" type="noConversion"/>
  </si>
  <si>
    <t>PW_CH_DTTI</t>
    <phoneticPr fontId="1" type="noConversion"/>
  </si>
  <si>
    <t>PW_INIT_YN</t>
    <phoneticPr fontId="1" type="noConversion"/>
  </si>
  <si>
    <t>PW_BF</t>
    <phoneticPr fontId="1" type="noConversion"/>
  </si>
  <si>
    <t>AI_OPEN_YN</t>
    <phoneticPr fontId="1" type="noConversion"/>
  </si>
  <si>
    <t>AI사용여부</t>
    <phoneticPr fontId="1" type="noConversion"/>
  </si>
  <si>
    <t>CREDIT</t>
    <phoneticPr fontId="1" type="noConversion"/>
  </si>
  <si>
    <t>크레딧</t>
    <phoneticPr fontId="1" type="noConversion"/>
  </si>
  <si>
    <t>BIGINT</t>
    <phoneticPr fontId="1" type="noConversion"/>
  </si>
  <si>
    <t>'100000'</t>
    <phoneticPr fontId="1" type="noConversion"/>
  </si>
  <si>
    <t>VARCHAR(40)</t>
    <phoneticPr fontId="1" type="noConversion"/>
  </si>
  <si>
    <t>VARCHAR(1000)</t>
    <phoneticPr fontId="1" type="noConversion"/>
  </si>
  <si>
    <t>LOGIN_CODE</t>
    <phoneticPr fontId="1" type="noConversion"/>
  </si>
  <si>
    <t>tb_ai_session</t>
    <phoneticPr fontId="1" type="noConversion"/>
  </si>
  <si>
    <t>AI세션</t>
    <phoneticPr fontId="1" type="noConversion"/>
  </si>
  <si>
    <t>SESSION_ID</t>
    <phoneticPr fontId="1" type="noConversion"/>
  </si>
  <si>
    <t>세션ID</t>
    <phoneticPr fontId="1" type="noConversion"/>
  </si>
  <si>
    <t>TITLE</t>
    <phoneticPr fontId="1" type="noConversion"/>
  </si>
  <si>
    <t>제목</t>
    <phoneticPr fontId="1" type="noConversion"/>
  </si>
  <si>
    <t>제목(첫 질문 요약)</t>
    <phoneticPr fontId="1" type="noConversion"/>
  </si>
  <si>
    <t>VARCHAR(200)</t>
  </si>
  <si>
    <t>VARCHAR(50)</t>
    <phoneticPr fontId="1" type="noConversion"/>
  </si>
  <si>
    <t>LLM모델</t>
    <phoneticPr fontId="1" type="noConversion"/>
  </si>
  <si>
    <t>CHAR(64)</t>
    <phoneticPr fontId="1" type="noConversion"/>
  </si>
  <si>
    <t>프롬프트 버전</t>
    <phoneticPr fontId="1" type="noConversion"/>
  </si>
  <si>
    <t>tb_ai_turn</t>
    <phoneticPr fontId="1" type="noConversion"/>
  </si>
  <si>
    <t>AI턴</t>
    <phoneticPr fontId="1" type="noConversion"/>
  </si>
  <si>
    <t>TURN_ID</t>
    <phoneticPr fontId="1" type="noConversion"/>
  </si>
  <si>
    <t>턴ID</t>
    <phoneticPr fontId="1" type="noConversion"/>
  </si>
  <si>
    <t>TURN_NO</t>
  </si>
  <si>
    <t>세션 내 순번</t>
    <phoneticPr fontId="1" type="noConversion"/>
  </si>
  <si>
    <t>순번</t>
    <phoneticPr fontId="1" type="noConversion"/>
  </si>
  <si>
    <t>USER_INPUT</t>
    <phoneticPr fontId="1" type="noConversion"/>
  </si>
  <si>
    <t>TEXT</t>
    <phoneticPr fontId="1" type="noConversion"/>
  </si>
  <si>
    <t>사용자입력</t>
    <phoneticPr fontId="1" type="noConversion"/>
  </si>
  <si>
    <t>사용자입력 원문</t>
    <phoneticPr fontId="1" type="noConversion"/>
  </si>
  <si>
    <t>FINAL_ANSWER</t>
    <phoneticPr fontId="1" type="noConversion"/>
  </si>
  <si>
    <t>최종답변</t>
    <phoneticPr fontId="1" type="noConversion"/>
  </si>
  <si>
    <t>MEDIUMTEXT</t>
    <phoneticPr fontId="1" type="noConversion"/>
  </si>
  <si>
    <t>ROUND_COUNT</t>
    <phoneticPr fontId="1" type="noConversion"/>
  </si>
  <si>
    <t>라운드</t>
    <phoneticPr fontId="1" type="noConversion"/>
  </si>
  <si>
    <t>ERROR_CODE</t>
    <phoneticPr fontId="1" type="noConversion"/>
  </si>
  <si>
    <t>ERROR_MESSAGE</t>
    <phoneticPr fontId="1" type="noConversion"/>
  </si>
  <si>
    <t>오류코드</t>
    <phoneticPr fontId="1" type="noConversion"/>
  </si>
  <si>
    <t>오류메세지</t>
    <phoneticPr fontId="1" type="noConversion"/>
  </si>
  <si>
    <t>AI_FINISH_RSCD</t>
    <phoneticPr fontId="1" type="noConversion"/>
  </si>
  <si>
    <t>AI종료원인코드</t>
    <phoneticPr fontId="1" type="noConversion"/>
  </si>
  <si>
    <t>AI종료원인코드(01:정지, 02:TOOL_CALL, 03:최대 라운드, 04: 오류, 05:기타)</t>
    <phoneticPr fontId="1" type="noConversion"/>
  </si>
  <si>
    <t>LLM_MODEL</t>
    <phoneticPr fontId="1" type="noConversion"/>
  </si>
  <si>
    <t>PROMPT_VERSION</t>
    <phoneticPr fontId="1" type="noConversion"/>
  </si>
  <si>
    <t>AI툴호출</t>
    <phoneticPr fontId="1" type="noConversion"/>
  </si>
  <si>
    <t>AI툴 호출 정보</t>
    <phoneticPr fontId="1" type="noConversion"/>
  </si>
  <si>
    <t>AI턴 정보</t>
    <phoneticPr fontId="1" type="noConversion"/>
  </si>
  <si>
    <t>AI세션 정보</t>
    <phoneticPr fontId="1" type="noConversion"/>
  </si>
  <si>
    <t>TOOL_CALL_ID</t>
    <phoneticPr fontId="1" type="noConversion"/>
  </si>
  <si>
    <t>툴호출ID</t>
    <phoneticPr fontId="1" type="noConversion"/>
  </si>
  <si>
    <t>라운드(0~MAX_ROUNDS-1)</t>
    <phoneticPr fontId="1" type="noConversion"/>
  </si>
  <si>
    <t>ROUND_NO</t>
    <phoneticPr fontId="1" type="noConversion"/>
  </si>
  <si>
    <t>CALL_ID</t>
  </si>
  <si>
    <t>호출ID</t>
    <phoneticPr fontId="1" type="noConversion"/>
  </si>
  <si>
    <t>TOOL_NM</t>
    <phoneticPr fontId="1" type="noConversion"/>
  </si>
  <si>
    <t>툴이름</t>
    <phoneticPr fontId="1" type="noConversion"/>
  </si>
  <si>
    <t>ARGUMENTS_JSON</t>
    <phoneticPr fontId="1" type="noConversion"/>
  </si>
  <si>
    <t>JSON</t>
    <phoneticPr fontId="1" type="noConversion"/>
  </si>
  <si>
    <t>호출인자</t>
    <phoneticPr fontId="1" type="noConversion"/>
  </si>
  <si>
    <t>START_DTTI</t>
    <phoneticPr fontId="1" type="noConversion"/>
  </si>
  <si>
    <t>END_DTTI</t>
    <phoneticPr fontId="1" type="noConversion"/>
  </si>
  <si>
    <t>시작일시</t>
    <phoneticPr fontId="1" type="noConversion"/>
  </si>
  <si>
    <t>종료일시</t>
    <phoneticPr fontId="1" type="noConversion"/>
  </si>
  <si>
    <t>DURATION_MS</t>
    <phoneticPr fontId="1" type="noConversion"/>
  </si>
  <si>
    <t>소요시간</t>
    <phoneticPr fontId="1" type="noConversion"/>
  </si>
  <si>
    <t>tb_ai_tool_call</t>
    <phoneticPr fontId="1" type="noConversion"/>
  </si>
  <si>
    <t>tb_ai_tool_result</t>
    <phoneticPr fontId="1" type="noConversion"/>
  </si>
  <si>
    <t>AI툴결과</t>
    <phoneticPr fontId="1" type="noConversion"/>
  </si>
  <si>
    <t>AI툴 호출 결과</t>
    <phoneticPr fontId="1" type="noConversion"/>
  </si>
  <si>
    <t>TOOL_RESULT_ID</t>
    <phoneticPr fontId="1" type="noConversion"/>
  </si>
  <si>
    <t>툴결과ID</t>
    <phoneticPr fontId="1" type="noConversion"/>
  </si>
  <si>
    <t>RESULT_JSON</t>
    <phoneticPr fontId="1" type="noConversion"/>
  </si>
  <si>
    <t>결과</t>
    <phoneticPr fontId="1" type="noConversion"/>
  </si>
  <si>
    <t>RESULT_ROWS</t>
    <phoneticPr fontId="1" type="noConversion"/>
  </si>
  <si>
    <t>결과(outputAsJson)</t>
    <phoneticPr fontId="1" type="noConversion"/>
  </si>
  <si>
    <t>RESULT_BYTES</t>
    <phoneticPr fontId="1" type="noConversion"/>
  </si>
  <si>
    <t>결과행수</t>
    <phoneticPr fontId="1" type="noConversion"/>
  </si>
  <si>
    <t>결과바이트</t>
    <phoneticPr fontId="1" type="noConversion"/>
  </si>
  <si>
    <t>ERROR_YN</t>
    <phoneticPr fontId="1" type="noConversion"/>
  </si>
  <si>
    <t>오류여부</t>
    <phoneticPr fontId="1" type="noConversion"/>
  </si>
  <si>
    <t>tb_ai_event</t>
    <phoneticPr fontId="1" type="noConversion"/>
  </si>
  <si>
    <t>AI이벤트</t>
    <phoneticPr fontId="1" type="noConversion"/>
  </si>
  <si>
    <t>AI이벤트 정보</t>
    <phoneticPr fontId="1" type="noConversion"/>
  </si>
  <si>
    <t>EVENT_ID</t>
    <phoneticPr fontId="1" type="noConversion"/>
  </si>
  <si>
    <t>이벤트ID</t>
    <phoneticPr fontId="1" type="noConversion"/>
  </si>
  <si>
    <t>SEQ_NO</t>
    <phoneticPr fontId="1" type="noConversion"/>
  </si>
  <si>
    <t>시퀀스번호</t>
    <phoneticPr fontId="1" type="noConversion"/>
  </si>
  <si>
    <t>시퀀스번호(turn 내 순서)</t>
    <phoneticPr fontId="1" type="noConversion"/>
  </si>
  <si>
    <t>EVENT_TYPE</t>
    <phoneticPr fontId="1" type="noConversion"/>
  </si>
  <si>
    <t>이벤트타입</t>
    <phoneticPr fontId="1" type="noConversion"/>
  </si>
  <si>
    <t>이벤트타입(USER_MSG / ASSIST_MSG / TOOL_CALL / TOOL_OUTPUT)</t>
    <phoneticPr fontId="1" type="noConversion"/>
  </si>
  <si>
    <t>ROLE</t>
    <phoneticPr fontId="1" type="noConversion"/>
  </si>
  <si>
    <t>롤</t>
    <phoneticPr fontId="1" type="noConversion"/>
  </si>
  <si>
    <t>롤(user/assistant/tool)</t>
    <phoneticPr fontId="1" type="noConversion"/>
  </si>
  <si>
    <t>호출ID(fc.callId())</t>
    <phoneticPr fontId="1" type="noConversion"/>
  </si>
  <si>
    <t>CONTENT_TEXT</t>
    <phoneticPr fontId="1" type="noConversion"/>
  </si>
  <si>
    <t>CONTENT_JSON</t>
    <phoneticPr fontId="1" type="noConversion"/>
  </si>
  <si>
    <t>메시지 텍스트</t>
    <phoneticPr fontId="1" type="noConversion"/>
  </si>
  <si>
    <t>메시지 JSON</t>
    <phoneticPr fontId="1" type="noConversion"/>
  </si>
  <si>
    <t>메시지 JSON(args/result/raw payload)</t>
    <phoneticPr fontId="1" type="noConversion"/>
  </si>
  <si>
    <t>INPUT_TOKENS</t>
    <phoneticPr fontId="1" type="noConversion"/>
  </si>
  <si>
    <t>OUTPUT_TOKENS</t>
    <phoneticPr fontId="1" type="noConversion"/>
  </si>
  <si>
    <t>TOTAL_TOKENS</t>
    <phoneticPr fontId="1" type="noConversion"/>
  </si>
  <si>
    <t>입력토큰</t>
    <phoneticPr fontId="1" type="noConversion"/>
  </si>
  <si>
    <t>출력토큰</t>
    <phoneticPr fontId="1" type="noConversion"/>
  </si>
  <si>
    <t>총토큰</t>
    <phoneticPr fontId="1" type="noConversion"/>
  </si>
  <si>
    <t>tb_manual</t>
    <phoneticPr fontId="1" type="noConversion"/>
  </si>
  <si>
    <t>매뉴얼</t>
    <phoneticPr fontId="1" type="noConversion"/>
  </si>
  <si>
    <t>사이트 사용 매뉴얼 정보</t>
    <phoneticPr fontId="1" type="noConversion"/>
  </si>
  <si>
    <t>MANUAL_SEQ</t>
    <phoneticPr fontId="1" type="noConversion"/>
  </si>
  <si>
    <t>매뉴얼일련번호</t>
    <phoneticPr fontId="1" type="noConversion"/>
  </si>
  <si>
    <t>MANUAL_TITLE</t>
    <phoneticPr fontId="1" type="noConversion"/>
  </si>
  <si>
    <t>매뉴얼제목</t>
    <phoneticPr fontId="1" type="noConversion"/>
  </si>
  <si>
    <t>매뉴얼내용</t>
    <phoneticPr fontId="1" type="noConversion"/>
  </si>
  <si>
    <t>MANUAL_CONTENT</t>
    <phoneticPr fontId="1" type="noConversion"/>
  </si>
  <si>
    <t>MANUAL_DVCD</t>
    <phoneticPr fontId="1" type="noConversion"/>
  </si>
  <si>
    <t>매뉴얼구분코드</t>
    <phoneticPr fontId="1" type="noConversion"/>
  </si>
  <si>
    <t>VARCHAR(2)</t>
    <phoneticPr fontId="1" type="noConversion"/>
  </si>
  <si>
    <t>매뉴얼구분코드(01: 마켓, 02: 정보, 99:기타)</t>
    <phoneticPr fontId="1" type="noConversion"/>
  </si>
  <si>
    <t>이행데이터 제거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</si>
</sst>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0" fillId="0" borderId="1" xfId="0" quotePrefix="1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</cellXfs>
  <cellStyles count="2">
    <cellStyle name="표준" xfId="0" builtinId="0"/>
    <cellStyle name="표준 2" xfId="1" xr:uid="{09CBFCF0-4D80-46A4-805D-371864F0B700}"/>
  </cellStyles>
  <dxfs count="0"/>
  <tableStyles count="0" defaultTableStyle="TableStyleMedium2" defaultPivotStyle="PivotStyleLight16"/>
  <colors>
    <mruColors>
      <color rgb="FF891114"/>
      <color rgb="FF5527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71E9-50F8-40BF-BE98-DCB2D45777B8}">
  <dimension ref="B2:E26"/>
  <sheetViews>
    <sheetView workbookViewId="0">
      <selection activeCell="B2" sqref="B2:E8"/>
    </sheetView>
  </sheetViews>
  <sheetFormatPr defaultRowHeight="17.399999999999999" x14ac:dyDescent="0.4"/>
  <cols>
    <col min="2" max="3" width="13.19921875" style="3" customWidth="1"/>
    <col min="4" max="4" width="43.3984375" customWidth="1"/>
    <col min="5" max="5" width="10.8984375" style="3" customWidth="1"/>
  </cols>
  <sheetData>
    <row r="2" spans="2:5" x14ac:dyDescent="0.4">
      <c r="B2" s="5" t="s">
        <v>225</v>
      </c>
      <c r="C2" s="5" t="s">
        <v>30</v>
      </c>
      <c r="D2" s="5" t="s">
        <v>226</v>
      </c>
      <c r="E2" s="5" t="s">
        <v>29</v>
      </c>
    </row>
    <row r="3" spans="2:5" x14ac:dyDescent="0.4">
      <c r="B3" s="4">
        <v>0.1</v>
      </c>
      <c r="C3" s="8">
        <v>45809</v>
      </c>
      <c r="D3" s="1" t="s">
        <v>227</v>
      </c>
      <c r="E3" s="4" t="s">
        <v>38</v>
      </c>
    </row>
    <row r="4" spans="2:5" x14ac:dyDescent="0.4">
      <c r="B4" s="4">
        <v>0.2</v>
      </c>
      <c r="C4" s="8">
        <v>45838</v>
      </c>
      <c r="D4" s="1" t="s">
        <v>228</v>
      </c>
      <c r="E4" s="4" t="s">
        <v>38</v>
      </c>
    </row>
    <row r="5" spans="2:5" x14ac:dyDescent="0.4">
      <c r="B5" s="4">
        <v>0.3</v>
      </c>
      <c r="C5" s="8">
        <v>45974</v>
      </c>
      <c r="D5" s="1" t="s">
        <v>244</v>
      </c>
      <c r="E5" s="4" t="s">
        <v>38</v>
      </c>
    </row>
    <row r="6" spans="2:5" x14ac:dyDescent="0.4">
      <c r="B6" s="4">
        <v>0.4</v>
      </c>
      <c r="C6" s="8">
        <v>45999</v>
      </c>
      <c r="D6" s="1" t="s">
        <v>245</v>
      </c>
      <c r="E6" s="4" t="s">
        <v>38</v>
      </c>
    </row>
    <row r="7" spans="2:5" x14ac:dyDescent="0.4">
      <c r="B7" s="4">
        <v>0.5</v>
      </c>
      <c r="C7" s="8">
        <v>46006</v>
      </c>
      <c r="D7" s="1" t="s">
        <v>259</v>
      </c>
      <c r="E7" s="4" t="s">
        <v>38</v>
      </c>
    </row>
    <row r="8" spans="2:5" x14ac:dyDescent="0.4">
      <c r="B8" s="4">
        <v>0.6</v>
      </c>
      <c r="C8" s="8">
        <v>46055</v>
      </c>
      <c r="D8" s="1" t="s">
        <v>400</v>
      </c>
      <c r="E8" s="4" t="s">
        <v>38</v>
      </c>
    </row>
    <row r="9" spans="2:5" x14ac:dyDescent="0.4">
      <c r="B9" s="4"/>
      <c r="C9" s="4"/>
      <c r="D9" s="1"/>
      <c r="E9" s="4"/>
    </row>
    <row r="10" spans="2:5" x14ac:dyDescent="0.4">
      <c r="B10" s="4"/>
      <c r="C10" s="4"/>
      <c r="D10" s="1"/>
      <c r="E10" s="4"/>
    </row>
    <row r="11" spans="2:5" x14ac:dyDescent="0.4">
      <c r="B11" s="4"/>
      <c r="C11" s="4"/>
      <c r="D11" s="1"/>
      <c r="E11" s="4"/>
    </row>
    <row r="12" spans="2:5" x14ac:dyDescent="0.4">
      <c r="B12" s="4"/>
      <c r="C12" s="4"/>
      <c r="D12" s="1"/>
      <c r="E12" s="4"/>
    </row>
    <row r="13" spans="2:5" x14ac:dyDescent="0.4">
      <c r="B13" s="4"/>
      <c r="C13" s="4"/>
      <c r="D13" s="1"/>
      <c r="E13" s="4"/>
    </row>
    <row r="14" spans="2:5" x14ac:dyDescent="0.4">
      <c r="B14" s="4"/>
      <c r="C14" s="4"/>
      <c r="D14" s="1"/>
      <c r="E14" s="4"/>
    </row>
    <row r="15" spans="2:5" x14ac:dyDescent="0.4">
      <c r="B15" s="4"/>
      <c r="C15" s="4"/>
      <c r="D15" s="1"/>
      <c r="E15" s="4"/>
    </row>
    <row r="16" spans="2:5" x14ac:dyDescent="0.4">
      <c r="B16" s="4"/>
      <c r="C16" s="4"/>
      <c r="D16" s="1"/>
      <c r="E16" s="4"/>
    </row>
    <row r="17" spans="2:5" x14ac:dyDescent="0.4">
      <c r="B17" s="4"/>
      <c r="C17" s="4"/>
      <c r="D17" s="1"/>
      <c r="E17" s="4"/>
    </row>
    <row r="18" spans="2:5" x14ac:dyDescent="0.4">
      <c r="B18" s="4"/>
      <c r="C18" s="4"/>
      <c r="D18" s="1"/>
      <c r="E18" s="4"/>
    </row>
    <row r="19" spans="2:5" x14ac:dyDescent="0.4">
      <c r="B19" s="4"/>
      <c r="C19" s="4"/>
      <c r="D19" s="1"/>
      <c r="E19" s="4"/>
    </row>
    <row r="20" spans="2:5" x14ac:dyDescent="0.4">
      <c r="B20" s="4"/>
      <c r="C20" s="4"/>
      <c r="D20" s="1"/>
      <c r="E20" s="4"/>
    </row>
    <row r="21" spans="2:5" x14ac:dyDescent="0.4">
      <c r="B21" s="4"/>
      <c r="C21" s="4"/>
      <c r="D21" s="1"/>
      <c r="E21" s="4"/>
    </row>
    <row r="22" spans="2:5" x14ac:dyDescent="0.4">
      <c r="B22" s="4"/>
      <c r="C22" s="4"/>
      <c r="D22" s="1"/>
      <c r="E22" s="4"/>
    </row>
    <row r="23" spans="2:5" x14ac:dyDescent="0.4">
      <c r="B23" s="4"/>
      <c r="C23" s="4"/>
      <c r="D23" s="1"/>
      <c r="E23" s="4"/>
    </row>
    <row r="24" spans="2:5" x14ac:dyDescent="0.4">
      <c r="B24" s="4"/>
      <c r="C24" s="4"/>
      <c r="D24" s="1"/>
      <c r="E24" s="4"/>
    </row>
    <row r="25" spans="2:5" x14ac:dyDescent="0.4">
      <c r="B25" s="4"/>
      <c r="C25" s="4"/>
      <c r="D25" s="1"/>
      <c r="E25" s="4"/>
    </row>
    <row r="26" spans="2:5" x14ac:dyDescent="0.4">
      <c r="B26" s="4"/>
      <c r="C26" s="4"/>
      <c r="D26" s="1"/>
      <c r="E26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A1B2-35B2-404A-91D2-564CF6C84D17}">
  <dimension ref="B2:J162"/>
  <sheetViews>
    <sheetView zoomScale="85" zoomScaleNormal="85" workbookViewId="0">
      <selection activeCell="F161" sqref="B2:I161"/>
    </sheetView>
  </sheetViews>
  <sheetFormatPr defaultRowHeight="17.399999999999999" x14ac:dyDescent="0.4"/>
  <cols>
    <col min="1" max="1" width="2.09765625" bestFit="1" customWidth="1"/>
    <col min="2" max="2" width="11.19921875" bestFit="1" customWidth="1"/>
    <col min="3" max="3" width="22.5" bestFit="1" customWidth="1"/>
    <col min="4" max="4" width="20.59765625" bestFit="1" customWidth="1"/>
    <col min="5" max="5" width="20.09765625" bestFit="1" customWidth="1"/>
    <col min="6" max="6" width="7" style="3" bestFit="1" customWidth="1"/>
    <col min="7" max="7" width="15" bestFit="1" customWidth="1"/>
    <col min="8" max="8" width="30.59765625" bestFit="1" customWidth="1"/>
    <col min="9" max="9" width="76.09765625" bestFit="1" customWidth="1"/>
    <col min="10" max="10" width="107.69921875" customWidth="1"/>
  </cols>
  <sheetData>
    <row r="2" spans="2:10" x14ac:dyDescent="0.4">
      <c r="B2" s="10" t="s">
        <v>28</v>
      </c>
      <c r="C2" s="11"/>
      <c r="D2" s="11"/>
      <c r="E2" s="11"/>
      <c r="F2" s="11"/>
      <c r="G2" s="11"/>
      <c r="H2" s="11"/>
      <c r="I2" s="12"/>
    </row>
    <row r="3" spans="2:10" x14ac:dyDescent="0.4">
      <c r="B3" s="5" t="s">
        <v>1</v>
      </c>
      <c r="C3" s="4" t="s">
        <v>260</v>
      </c>
      <c r="D3" s="5" t="s">
        <v>3</v>
      </c>
      <c r="E3" s="4" t="s">
        <v>37</v>
      </c>
      <c r="F3" s="5" t="s">
        <v>29</v>
      </c>
      <c r="G3" s="4" t="s">
        <v>38</v>
      </c>
      <c r="H3" s="5" t="s">
        <v>30</v>
      </c>
      <c r="I3" s="6">
        <v>44942</v>
      </c>
      <c r="J3" t="str">
        <f>_xlfn.CONCAT("DROP TABLE IF EXISTS ",C3,";")</f>
        <v>DROP TABLE IF EXISTS tb_user;</v>
      </c>
    </row>
    <row r="4" spans="2:10" x14ac:dyDescent="0.4">
      <c r="B4" s="5" t="s">
        <v>31</v>
      </c>
      <c r="C4" s="13" t="s">
        <v>39</v>
      </c>
      <c r="D4" s="13"/>
      <c r="E4" s="13"/>
      <c r="F4" s="13"/>
      <c r="G4" s="13"/>
      <c r="H4" s="13"/>
      <c r="I4" s="13"/>
      <c r="J4" t="str">
        <f>_xlfn.CONCAT("CREATE TABLE ",C3)</f>
        <v>CREATE TABLE tb_user</v>
      </c>
    </row>
    <row r="5" spans="2:10" x14ac:dyDescent="0.4">
      <c r="B5" s="5" t="s">
        <v>32</v>
      </c>
      <c r="C5" s="5" t="s">
        <v>1</v>
      </c>
      <c r="D5" s="5" t="s">
        <v>3</v>
      </c>
      <c r="E5" s="5" t="s">
        <v>33</v>
      </c>
      <c r="F5" s="5" t="s">
        <v>34</v>
      </c>
      <c r="G5" s="5" t="s">
        <v>35</v>
      </c>
      <c r="H5" s="5" t="s">
        <v>22</v>
      </c>
      <c r="I5" s="5" t="s">
        <v>36</v>
      </c>
      <c r="J5" t="str">
        <f>_xlfn.CONCAT("(")</f>
        <v>(</v>
      </c>
    </row>
    <row r="6" spans="2:10" x14ac:dyDescent="0.4">
      <c r="B6" s="4">
        <v>1</v>
      </c>
      <c r="C6" s="1" t="s">
        <v>192</v>
      </c>
      <c r="D6" s="1" t="s">
        <v>193</v>
      </c>
      <c r="E6" s="4" t="s">
        <v>173</v>
      </c>
      <c r="F6" s="4">
        <v>1</v>
      </c>
      <c r="G6" s="1" t="s">
        <v>41</v>
      </c>
      <c r="H6" s="1" t="s">
        <v>194</v>
      </c>
      <c r="I6" s="1" t="s">
        <v>193</v>
      </c>
      <c r="J6" t="str">
        <f>_xlfn.CONCAT(IF(B6=1,"",", "),C6," ",E6," ",G6,_xlfn.IFS(H6="","",H6="AUTO_INCREMENT"," AUTO_INCREMENT PRIMARY KEY",TRUE,_xlfn.CONCAT(" DEFAULT"," ",H6)), " COMMENT '",I6,"'")</f>
        <v>USER_SEQ INT NOT NULL AUTO_INCREMENT PRIMARY KEY COMMENT '사용자일련번호'</v>
      </c>
    </row>
    <row r="7" spans="2:10" x14ac:dyDescent="0.4">
      <c r="B7" s="4">
        <v>2</v>
      </c>
      <c r="C7" s="1" t="s">
        <v>160</v>
      </c>
      <c r="D7" s="1" t="s">
        <v>77</v>
      </c>
      <c r="E7" s="4" t="s">
        <v>285</v>
      </c>
      <c r="F7" s="4"/>
      <c r="G7" s="1" t="s">
        <v>43</v>
      </c>
      <c r="H7" s="1"/>
      <c r="I7" s="1" t="s">
        <v>77</v>
      </c>
      <c r="J7" t="str">
        <f t="shared" ref="J7:J22" si="0">_xlfn.CONCAT(IF(B7=1,"",", "),C7," ",E7," ",G7,_xlfn.IFS(H7="","",H7="AUTO_INCREMENT"," AUTO_INCREMENT PRIMARY KEY",TRUE,_xlfn.CONCAT(" DEFAULT"," ",H7)), " COMMENT '",I7,"'")</f>
        <v>, USER_ID VARCHAR(40) NULL COMMENT '사용자아이디'</v>
      </c>
    </row>
    <row r="8" spans="2:10" x14ac:dyDescent="0.4">
      <c r="B8" s="4">
        <v>3</v>
      </c>
      <c r="C8" s="1" t="s">
        <v>161</v>
      </c>
      <c r="D8" s="1" t="s">
        <v>78</v>
      </c>
      <c r="E8" s="4" t="s">
        <v>105</v>
      </c>
      <c r="F8" s="4"/>
      <c r="G8" s="1" t="s">
        <v>43</v>
      </c>
      <c r="H8" s="1"/>
      <c r="I8" s="1" t="s">
        <v>78</v>
      </c>
      <c r="J8" t="str">
        <f t="shared" si="0"/>
        <v>, USER_PW VARCHAR(100) NULL COMMENT '사용자비밀번호'</v>
      </c>
    </row>
    <row r="9" spans="2:10" x14ac:dyDescent="0.4">
      <c r="B9" s="4">
        <v>4</v>
      </c>
      <c r="C9" s="1" t="s">
        <v>181</v>
      </c>
      <c r="D9" s="1" t="s">
        <v>182</v>
      </c>
      <c r="E9" s="4" t="s">
        <v>25</v>
      </c>
      <c r="F9" s="4"/>
      <c r="G9" s="1" t="s">
        <v>43</v>
      </c>
      <c r="H9" s="1"/>
      <c r="I9" s="1" t="s">
        <v>51</v>
      </c>
      <c r="J9" t="str">
        <f t="shared" si="0"/>
        <v>, USER_NM VARCHAR(30) NULL COMMENT '이름'</v>
      </c>
    </row>
    <row r="10" spans="2:10" x14ac:dyDescent="0.4">
      <c r="B10" s="4">
        <v>5</v>
      </c>
      <c r="C10" s="1" t="s">
        <v>279</v>
      </c>
      <c r="D10" s="1" t="s">
        <v>280</v>
      </c>
      <c r="E10" s="4" t="s">
        <v>23</v>
      </c>
      <c r="F10" s="4"/>
      <c r="G10" s="1" t="s">
        <v>43</v>
      </c>
      <c r="H10" s="7" t="s">
        <v>214</v>
      </c>
      <c r="I10" s="1" t="s">
        <v>280</v>
      </c>
      <c r="J10" t="str">
        <f t="shared" ref="J10" si="1">_xlfn.CONCAT(IF(B10=1,"",", "),C10," ",E10," ",G10,_xlfn.IFS(H10="","",H10="AUTO_INCREMENT"," AUTO_INCREMENT PRIMARY KEY",TRUE,_xlfn.CONCAT(" DEFAULT"," ",H10)), " COMMENT '",I10,"'")</f>
        <v>, AI_OPEN_YN CHAR(1) NULL DEFAULT 'N' COMMENT 'AI사용여부'</v>
      </c>
    </row>
    <row r="11" spans="2:10" x14ac:dyDescent="0.4">
      <c r="B11" s="4">
        <v>6</v>
      </c>
      <c r="C11" s="1" t="s">
        <v>281</v>
      </c>
      <c r="D11" s="1" t="s">
        <v>282</v>
      </c>
      <c r="E11" s="4" t="s">
        <v>283</v>
      </c>
      <c r="F11" s="4"/>
      <c r="G11" s="1" t="s">
        <v>43</v>
      </c>
      <c r="H11" s="7" t="s">
        <v>284</v>
      </c>
      <c r="I11" s="1" t="s">
        <v>282</v>
      </c>
      <c r="J11" t="str">
        <f t="shared" ref="J11" si="2">_xlfn.CONCAT(IF(B11=1,"",", "),C11," ",E11," ",G11,_xlfn.IFS(H11="","",H11="AUTO_INCREMENT"," AUTO_INCREMENT PRIMARY KEY",TRUE,_xlfn.CONCAT(" DEFAULT"," ",H11)), " COMMENT '",I11,"'")</f>
        <v>, CREDIT BIGINT NULL DEFAULT '100000' COMMENT '크레딧'</v>
      </c>
    </row>
    <row r="12" spans="2:10" x14ac:dyDescent="0.4">
      <c r="B12" s="4">
        <v>7</v>
      </c>
      <c r="C12" s="1" t="s">
        <v>167</v>
      </c>
      <c r="D12" s="1" t="s">
        <v>168</v>
      </c>
      <c r="E12" s="4" t="s">
        <v>23</v>
      </c>
      <c r="F12" s="4"/>
      <c r="G12" s="1" t="s">
        <v>43</v>
      </c>
      <c r="H12" s="7" t="s">
        <v>170</v>
      </c>
      <c r="I12" s="1" t="s">
        <v>168</v>
      </c>
      <c r="J12" t="str">
        <f t="shared" si="0"/>
        <v>, USE_YN CHAR(1) NULL DEFAULT 'Y' COMMENT '사용여부'</v>
      </c>
    </row>
    <row r="13" spans="2:10" x14ac:dyDescent="0.4">
      <c r="B13" s="4">
        <v>8</v>
      </c>
      <c r="C13" s="1" t="s">
        <v>178</v>
      </c>
      <c r="D13" s="1" t="s">
        <v>180</v>
      </c>
      <c r="E13" s="4" t="s">
        <v>124</v>
      </c>
      <c r="F13" s="4"/>
      <c r="G13" s="1" t="s">
        <v>43</v>
      </c>
      <c r="H13" s="1" t="s">
        <v>58</v>
      </c>
      <c r="I13" s="1" t="s">
        <v>127</v>
      </c>
      <c r="J13" t="str">
        <f t="shared" si="0"/>
        <v>, RMRK VARCHAR(3000) NULL COMMENT '사용자비고'</v>
      </c>
    </row>
    <row r="14" spans="2:10" x14ac:dyDescent="0.4">
      <c r="B14" s="4">
        <v>9</v>
      </c>
      <c r="C14" s="1" t="s">
        <v>276</v>
      </c>
      <c r="D14" s="1" t="s">
        <v>79</v>
      </c>
      <c r="E14" s="4" t="s">
        <v>49</v>
      </c>
      <c r="F14" s="4"/>
      <c r="G14" s="1" t="s">
        <v>43</v>
      </c>
      <c r="H14" s="1" t="s">
        <v>59</v>
      </c>
      <c r="I14" s="1" t="s">
        <v>52</v>
      </c>
      <c r="J14" t="str">
        <f t="shared" si="0"/>
        <v>, PW_CH_DTTI TIMESTAMP NULL DEFAULT NOW() COMMENT '비밀번호 최종수정일시'</v>
      </c>
    </row>
    <row r="15" spans="2:10" x14ac:dyDescent="0.4">
      <c r="B15" s="4">
        <v>10</v>
      </c>
      <c r="C15" s="1" t="s">
        <v>278</v>
      </c>
      <c r="D15" s="1" t="s">
        <v>53</v>
      </c>
      <c r="E15" s="4" t="s">
        <v>105</v>
      </c>
      <c r="F15" s="4"/>
      <c r="G15" s="1" t="s">
        <v>43</v>
      </c>
      <c r="H15" s="1" t="s">
        <v>58</v>
      </c>
      <c r="I15" s="1" t="s">
        <v>53</v>
      </c>
      <c r="J15" t="str">
        <f t="shared" si="0"/>
        <v>, PW_BF VARCHAR(100) NULL COMMENT '이전 비밀번호'</v>
      </c>
    </row>
    <row r="16" spans="2:10" x14ac:dyDescent="0.4">
      <c r="B16" s="4">
        <v>11</v>
      </c>
      <c r="C16" s="1" t="s">
        <v>275</v>
      </c>
      <c r="D16" s="1" t="s">
        <v>82</v>
      </c>
      <c r="E16" s="4" t="s">
        <v>173</v>
      </c>
      <c r="F16" s="4"/>
      <c r="G16" s="1" t="s">
        <v>43</v>
      </c>
      <c r="H16" s="1" t="s">
        <v>60</v>
      </c>
      <c r="I16" s="1" t="s">
        <v>54</v>
      </c>
      <c r="J16" t="str">
        <f t="shared" si="0"/>
        <v>, PW_ERR_CNT INT NULL DEFAULT '0' COMMENT '비밀번호 오입력 횟수'</v>
      </c>
    </row>
    <row r="17" spans="2:10" x14ac:dyDescent="0.4">
      <c r="B17" s="4">
        <v>12</v>
      </c>
      <c r="C17" s="1" t="s">
        <v>277</v>
      </c>
      <c r="D17" s="1" t="s">
        <v>83</v>
      </c>
      <c r="E17" s="4" t="s">
        <v>23</v>
      </c>
      <c r="F17" s="4"/>
      <c r="G17" s="1" t="s">
        <v>43</v>
      </c>
      <c r="H17" s="7" t="s">
        <v>179</v>
      </c>
      <c r="I17" s="1" t="s">
        <v>177</v>
      </c>
      <c r="J17" t="str">
        <f t="shared" si="0"/>
        <v>, PW_INIT_YN CHAR(1) NULL DEFAULT 'Y' COMMENT '비밀번호 초기화 여부'</v>
      </c>
    </row>
    <row r="18" spans="2:10" x14ac:dyDescent="0.4">
      <c r="B18" s="4">
        <v>13</v>
      </c>
      <c r="C18" s="1" t="s">
        <v>132</v>
      </c>
      <c r="D18" s="1" t="s">
        <v>134</v>
      </c>
      <c r="E18" s="4" t="s">
        <v>173</v>
      </c>
      <c r="F18" s="4"/>
      <c r="G18" s="1" t="s">
        <v>43</v>
      </c>
      <c r="H18" s="1"/>
      <c r="I18" s="1" t="s">
        <v>134</v>
      </c>
      <c r="J18" t="str">
        <f>_xlfn.CONCAT(IF(B18=1,"",", "),C18," ",E18," ",G18,_xlfn.IFS(H18="","",H18="AUTO_INCREMENT"," AUTO_INCREMENT PRIMARY KEY",TRUE,_xlfn.CONCAT(" DEFAULT"," ",H18)), " COMMENT '",I18,"'")</f>
        <v>, ROLE_SEQ INT NULL COMMENT '권한그룹일련번호'</v>
      </c>
    </row>
    <row r="19" spans="2:10" x14ac:dyDescent="0.4">
      <c r="B19" s="4">
        <v>14</v>
      </c>
      <c r="C19" s="1" t="s">
        <v>196</v>
      </c>
      <c r="D19" s="1" t="s">
        <v>197</v>
      </c>
      <c r="E19" s="4" t="s">
        <v>173</v>
      </c>
      <c r="F19" s="4"/>
      <c r="G19" s="1" t="s">
        <v>41</v>
      </c>
      <c r="H19" s="1" t="s">
        <v>58</v>
      </c>
      <c r="I19" s="1" t="s">
        <v>197</v>
      </c>
      <c r="J19" t="str">
        <f t="shared" si="0"/>
        <v>, FST_REG_SEQ INT NOT NULL COMMENT '최초등록자일련번호'</v>
      </c>
    </row>
    <row r="20" spans="2:10" x14ac:dyDescent="0.4">
      <c r="B20" s="4">
        <v>15</v>
      </c>
      <c r="C20" s="1" t="s">
        <v>50</v>
      </c>
      <c r="D20" s="1" t="s">
        <v>55</v>
      </c>
      <c r="E20" s="4" t="s">
        <v>49</v>
      </c>
      <c r="F20" s="4"/>
      <c r="G20" s="1" t="s">
        <v>41</v>
      </c>
      <c r="H20" s="1" t="s">
        <v>59</v>
      </c>
      <c r="I20" s="1" t="s">
        <v>55</v>
      </c>
      <c r="J20" t="str">
        <f t="shared" si="0"/>
        <v>, FST_REG_DTTI TIMESTAMP NOT NULL DEFAULT NOW() COMMENT '최초등록일시'</v>
      </c>
    </row>
    <row r="21" spans="2:10" x14ac:dyDescent="0.4">
      <c r="B21" s="4">
        <v>16</v>
      </c>
      <c r="C21" s="1" t="s">
        <v>241</v>
      </c>
      <c r="D21" s="1" t="s">
        <v>198</v>
      </c>
      <c r="E21" s="4" t="s">
        <v>173</v>
      </c>
      <c r="F21" s="4"/>
      <c r="G21" s="1" t="s">
        <v>41</v>
      </c>
      <c r="H21" s="1" t="s">
        <v>58</v>
      </c>
      <c r="I21" s="1" t="s">
        <v>198</v>
      </c>
      <c r="J21" t="str">
        <f t="shared" si="0"/>
        <v>, LST_UPD_SEQ INT NOT NULL COMMENT '최종수정자일련번호'</v>
      </c>
    </row>
    <row r="22" spans="2:10" x14ac:dyDescent="0.4">
      <c r="B22" s="4">
        <v>17</v>
      </c>
      <c r="C22" s="1" t="s">
        <v>239</v>
      </c>
      <c r="D22" s="1" t="s">
        <v>57</v>
      </c>
      <c r="E22" s="4" t="s">
        <v>49</v>
      </c>
      <c r="F22" s="4"/>
      <c r="G22" s="1" t="s">
        <v>41</v>
      </c>
      <c r="H22" s="1" t="s">
        <v>59</v>
      </c>
      <c r="I22" s="1" t="s">
        <v>57</v>
      </c>
      <c r="J22" t="str">
        <f t="shared" si="0"/>
        <v>, LST_UPD_DTTI TIMESTAMP NOT NULL DEFAULT NOW() COMMENT '최종수정일시'</v>
      </c>
    </row>
    <row r="23" spans="2:10" x14ac:dyDescent="0.4">
      <c r="J23" t="str">
        <f>_xlfn.CONCAT(");")</f>
        <v>);</v>
      </c>
    </row>
    <row r="24" spans="2:10" x14ac:dyDescent="0.4">
      <c r="B24" s="10" t="s">
        <v>28</v>
      </c>
      <c r="C24" s="11"/>
      <c r="D24" s="11"/>
      <c r="E24" s="11"/>
      <c r="F24" s="11"/>
      <c r="G24" s="11"/>
      <c r="H24" s="11"/>
      <c r="I24" s="12"/>
    </row>
    <row r="25" spans="2:10" x14ac:dyDescent="0.4">
      <c r="B25" s="5" t="s">
        <v>1</v>
      </c>
      <c r="C25" s="4" t="s">
        <v>261</v>
      </c>
      <c r="D25" s="5" t="s">
        <v>3</v>
      </c>
      <c r="E25" s="4" t="s">
        <v>80</v>
      </c>
      <c r="F25" s="5" t="s">
        <v>29</v>
      </c>
      <c r="G25" s="4" t="s">
        <v>38</v>
      </c>
      <c r="H25" s="5" t="s">
        <v>30</v>
      </c>
      <c r="I25" s="6">
        <v>44942</v>
      </c>
      <c r="J25" t="str">
        <f>_xlfn.CONCAT("DROP TABLE IF EXISTS ",C25,";")</f>
        <v>DROP TABLE IF EXISTS tb_code_group;</v>
      </c>
    </row>
    <row r="26" spans="2:10" x14ac:dyDescent="0.4">
      <c r="B26" s="5" t="s">
        <v>31</v>
      </c>
      <c r="C26" s="13" t="s">
        <v>61</v>
      </c>
      <c r="D26" s="13"/>
      <c r="E26" s="13"/>
      <c r="F26" s="13"/>
      <c r="G26" s="13"/>
      <c r="H26" s="13"/>
      <c r="I26" s="13"/>
      <c r="J26" t="str">
        <f>_xlfn.CONCAT("CREATE TABLE ",C25)</f>
        <v>CREATE TABLE tb_code_group</v>
      </c>
    </row>
    <row r="27" spans="2:10" x14ac:dyDescent="0.4">
      <c r="B27" s="5" t="s">
        <v>32</v>
      </c>
      <c r="C27" s="5" t="s">
        <v>1</v>
      </c>
      <c r="D27" s="5" t="s">
        <v>3</v>
      </c>
      <c r="E27" s="5" t="s">
        <v>33</v>
      </c>
      <c r="F27" s="5" t="s">
        <v>34</v>
      </c>
      <c r="G27" s="5" t="s">
        <v>35</v>
      </c>
      <c r="H27" s="5" t="s">
        <v>22</v>
      </c>
      <c r="I27" s="5" t="s">
        <v>36</v>
      </c>
      <c r="J27" t="str">
        <f>_xlfn.CONCAT("(")</f>
        <v>(</v>
      </c>
    </row>
    <row r="28" spans="2:10" x14ac:dyDescent="0.4">
      <c r="B28" s="4">
        <v>1</v>
      </c>
      <c r="C28" s="1" t="s">
        <v>66</v>
      </c>
      <c r="D28" s="1" t="s">
        <v>80</v>
      </c>
      <c r="E28" s="4" t="s">
        <v>25</v>
      </c>
      <c r="F28" s="4">
        <v>1</v>
      </c>
      <c r="G28" s="1" t="s">
        <v>41</v>
      </c>
      <c r="H28" s="1"/>
      <c r="I28" s="1" t="s">
        <v>80</v>
      </c>
      <c r="J28" t="str">
        <f>_xlfn.CONCAT(IF(B28=1,"",", "),C28," ",E28," ",G28,_xlfn.IFS(H28="","",H28="AUTO_INCREMENT"," AUTO_INCREMENT PRIMARY KEY",TRUE,_xlfn.CONCAT(" DEFAULT"," ",H28)), " COMMENT '",I28,"'")</f>
        <v>CODE_GROUP VARCHAR(30) NOT NULL COMMENT '코드그룹'</v>
      </c>
    </row>
    <row r="29" spans="2:10" x14ac:dyDescent="0.4">
      <c r="B29" s="4">
        <v>2</v>
      </c>
      <c r="C29" s="1" t="s">
        <v>62</v>
      </c>
      <c r="D29" s="1" t="s">
        <v>81</v>
      </c>
      <c r="E29" s="4" t="s">
        <v>64</v>
      </c>
      <c r="F29" s="4"/>
      <c r="G29" s="1" t="s">
        <v>43</v>
      </c>
      <c r="H29" s="1"/>
      <c r="I29" s="1" t="s">
        <v>81</v>
      </c>
      <c r="J29" t="str">
        <f t="shared" ref="J29:J34" si="3">_xlfn.CONCAT(IF(B29=1,"",", "),C29," ",E29," ",G29,_xlfn.IFS(H29="","",H29="AUTO_INCREMENT"," AUTO_INCREMENT PRIMARY KEY",TRUE,_xlfn.CONCAT(" DEFAULT"," ",H29)), " COMMENT '",I29,"'")</f>
        <v>, CODE_GROUP_NM VARCHAR(150) NULL COMMENT '코드그룹명'</v>
      </c>
    </row>
    <row r="30" spans="2:10" x14ac:dyDescent="0.4">
      <c r="B30" s="4">
        <v>3</v>
      </c>
      <c r="C30" s="1" t="s">
        <v>154</v>
      </c>
      <c r="D30" s="1" t="s">
        <v>180</v>
      </c>
      <c r="E30" s="4" t="s">
        <v>124</v>
      </c>
      <c r="F30" s="4"/>
      <c r="G30" s="1" t="s">
        <v>43</v>
      </c>
      <c r="H30" s="1" t="s">
        <v>58</v>
      </c>
      <c r="I30" s="1" t="s">
        <v>180</v>
      </c>
      <c r="J30" t="str">
        <f t="shared" si="3"/>
        <v>, RMRK VARCHAR(3000) NULL COMMENT '비고'</v>
      </c>
    </row>
    <row r="31" spans="2:10" x14ac:dyDescent="0.4">
      <c r="B31" s="4">
        <v>4</v>
      </c>
      <c r="C31" s="1" t="s">
        <v>196</v>
      </c>
      <c r="D31" s="1" t="s">
        <v>197</v>
      </c>
      <c r="E31" s="4" t="s">
        <v>173</v>
      </c>
      <c r="F31" s="4"/>
      <c r="G31" s="1" t="s">
        <v>41</v>
      </c>
      <c r="H31" s="1" t="s">
        <v>58</v>
      </c>
      <c r="I31" s="1" t="s">
        <v>197</v>
      </c>
      <c r="J31" t="str">
        <f t="shared" si="3"/>
        <v>, FST_REG_SEQ INT NOT NULL COMMENT '최초등록자일련번호'</v>
      </c>
    </row>
    <row r="32" spans="2:10" x14ac:dyDescent="0.4">
      <c r="B32" s="4">
        <v>5</v>
      </c>
      <c r="C32" s="1" t="s">
        <v>50</v>
      </c>
      <c r="D32" s="1" t="s">
        <v>55</v>
      </c>
      <c r="E32" s="4" t="s">
        <v>49</v>
      </c>
      <c r="F32" s="4"/>
      <c r="G32" s="1" t="s">
        <v>41</v>
      </c>
      <c r="H32" s="1" t="s">
        <v>59</v>
      </c>
      <c r="I32" s="1" t="s">
        <v>55</v>
      </c>
      <c r="J32" t="str">
        <f t="shared" si="3"/>
        <v>, FST_REG_DTTI TIMESTAMP NOT NULL DEFAULT NOW() COMMENT '최초등록일시'</v>
      </c>
    </row>
    <row r="33" spans="2:10" x14ac:dyDescent="0.4">
      <c r="B33" s="4">
        <v>6</v>
      </c>
      <c r="C33" s="1" t="s">
        <v>241</v>
      </c>
      <c r="D33" s="1" t="s">
        <v>198</v>
      </c>
      <c r="E33" s="4" t="s">
        <v>173</v>
      </c>
      <c r="F33" s="4"/>
      <c r="G33" s="1" t="s">
        <v>41</v>
      </c>
      <c r="H33" s="1" t="s">
        <v>58</v>
      </c>
      <c r="I33" s="1" t="s">
        <v>198</v>
      </c>
      <c r="J33" t="str">
        <f t="shared" si="3"/>
        <v>, LST_UPD_SEQ INT NOT NULL COMMENT '최종수정자일련번호'</v>
      </c>
    </row>
    <row r="34" spans="2:10" x14ac:dyDescent="0.4">
      <c r="B34" s="4">
        <v>7</v>
      </c>
      <c r="C34" s="1" t="s">
        <v>239</v>
      </c>
      <c r="D34" s="1" t="s">
        <v>57</v>
      </c>
      <c r="E34" s="4" t="s">
        <v>49</v>
      </c>
      <c r="F34" s="4"/>
      <c r="G34" s="1" t="s">
        <v>41</v>
      </c>
      <c r="H34" s="1" t="s">
        <v>59</v>
      </c>
      <c r="I34" s="1" t="s">
        <v>57</v>
      </c>
      <c r="J34" t="str">
        <f t="shared" si="3"/>
        <v>, LST_UPD_DTTI TIMESTAMP NOT NULL DEFAULT NOW() COMMENT '최종수정일시'</v>
      </c>
    </row>
    <row r="35" spans="2:10" x14ac:dyDescent="0.4">
      <c r="J35" t="str">
        <f>_xlfn.CONCAT(") COMMENT '",E25,"';")</f>
        <v>) COMMENT '코드그룹';</v>
      </c>
    </row>
    <row r="36" spans="2:10" x14ac:dyDescent="0.4">
      <c r="B36" s="5" t="s">
        <v>32</v>
      </c>
      <c r="C36" s="14" t="s">
        <v>44</v>
      </c>
      <c r="D36" s="14"/>
      <c r="E36" s="14"/>
      <c r="F36" s="14" t="s">
        <v>45</v>
      </c>
      <c r="G36" s="14"/>
      <c r="H36" s="14"/>
      <c r="I36" s="14"/>
      <c r="J36" t="str">
        <f>_xlfn.CONCAT("ALTER TABLE ",C25," ADD CONSTRAINT ",C37," PRIMARY KEY (")</f>
        <v>ALTER TABLE tb_code_group ADD CONSTRAINT PK_tb_code_group PRIMARY KEY (</v>
      </c>
    </row>
    <row r="37" spans="2:10" x14ac:dyDescent="0.4">
      <c r="B37" s="4">
        <v>1</v>
      </c>
      <c r="C37" s="15" t="str">
        <f>_xlfn.CONCAT("PK_",C25)</f>
        <v>PK_tb_code_group</v>
      </c>
      <c r="D37" s="15"/>
      <c r="E37" s="15"/>
      <c r="F37" s="15" t="str">
        <f>C28</f>
        <v>CODE_GROUP</v>
      </c>
      <c r="G37" s="15"/>
      <c r="H37" s="15"/>
      <c r="I37" s="15"/>
      <c r="J37" t="str">
        <f>_xlfn.CONCAT(IF(B37=1,"",", "),F37)</f>
        <v>CODE_GROUP</v>
      </c>
    </row>
    <row r="38" spans="2:10" x14ac:dyDescent="0.4">
      <c r="J38" t="str">
        <f>_xlfn.CONCAT(");")</f>
        <v>);</v>
      </c>
    </row>
    <row r="39" spans="2:10" x14ac:dyDescent="0.4">
      <c r="B39" s="10" t="s">
        <v>28</v>
      </c>
      <c r="C39" s="11"/>
      <c r="D39" s="11"/>
      <c r="E39" s="11"/>
      <c r="F39" s="11"/>
      <c r="G39" s="11"/>
      <c r="H39" s="11"/>
      <c r="I39" s="12"/>
    </row>
    <row r="40" spans="2:10" x14ac:dyDescent="0.4">
      <c r="B40" s="5" t="s">
        <v>1</v>
      </c>
      <c r="C40" s="4" t="s">
        <v>262</v>
      </c>
      <c r="D40" s="5" t="s">
        <v>3</v>
      </c>
      <c r="E40" s="4" t="s">
        <v>96</v>
      </c>
      <c r="F40" s="5" t="s">
        <v>29</v>
      </c>
      <c r="G40" s="4" t="s">
        <v>38</v>
      </c>
      <c r="H40" s="5" t="s">
        <v>30</v>
      </c>
      <c r="I40" s="6">
        <v>44942</v>
      </c>
      <c r="J40" t="str">
        <f>_xlfn.CONCAT("DROP TABLE IF EXISTS ",C40,";")</f>
        <v>DROP TABLE IF EXISTS tb_code_detail;</v>
      </c>
    </row>
    <row r="41" spans="2:10" x14ac:dyDescent="0.4">
      <c r="B41" s="5" t="s">
        <v>31</v>
      </c>
      <c r="C41" s="13" t="s">
        <v>65</v>
      </c>
      <c r="D41" s="13"/>
      <c r="E41" s="13"/>
      <c r="F41" s="13"/>
      <c r="G41" s="13"/>
      <c r="H41" s="13"/>
      <c r="I41" s="13"/>
      <c r="J41" t="str">
        <f>_xlfn.CONCAT("CREATE TABLE ",C40)</f>
        <v>CREATE TABLE tb_code_detail</v>
      </c>
    </row>
    <row r="42" spans="2:10" x14ac:dyDescent="0.4">
      <c r="B42" s="5" t="s">
        <v>32</v>
      </c>
      <c r="C42" s="5" t="s">
        <v>1</v>
      </c>
      <c r="D42" s="5" t="s">
        <v>3</v>
      </c>
      <c r="E42" s="5" t="s">
        <v>33</v>
      </c>
      <c r="F42" s="5" t="s">
        <v>34</v>
      </c>
      <c r="G42" s="5" t="s">
        <v>35</v>
      </c>
      <c r="H42" s="5" t="s">
        <v>22</v>
      </c>
      <c r="I42" s="5" t="s">
        <v>36</v>
      </c>
      <c r="J42" t="str">
        <f>_xlfn.CONCAT("(")</f>
        <v>(</v>
      </c>
    </row>
    <row r="43" spans="2:10" x14ac:dyDescent="0.4">
      <c r="B43" s="4">
        <v>1</v>
      </c>
      <c r="C43" s="1" t="s">
        <v>66</v>
      </c>
      <c r="D43" s="1" t="s">
        <v>80</v>
      </c>
      <c r="E43" s="4" t="s">
        <v>25</v>
      </c>
      <c r="F43" s="4">
        <v>1</v>
      </c>
      <c r="G43" s="1" t="s">
        <v>41</v>
      </c>
      <c r="H43" s="1"/>
      <c r="I43" s="1" t="s">
        <v>80</v>
      </c>
      <c r="J43" t="str">
        <f>_xlfn.CONCAT(IF(B43=1,"",", "),C43," ",E43," ",G43,_xlfn.IFS(H43="","",H43="AUTO_INCREMENT"," AUTO_INCREMENT PRIMARY KEY",TRUE,_xlfn.CONCAT(" DEFAULT"," ",H43)), " COMMENT '",I43,"'")</f>
        <v>CODE_GROUP VARCHAR(30) NOT NULL COMMENT '코드그룹'</v>
      </c>
    </row>
    <row r="44" spans="2:10" x14ac:dyDescent="0.4">
      <c r="B44" s="4">
        <v>2</v>
      </c>
      <c r="C44" s="1" t="s">
        <v>68</v>
      </c>
      <c r="D44" s="1" t="s">
        <v>96</v>
      </c>
      <c r="E44" s="4" t="s">
        <v>24</v>
      </c>
      <c r="F44" s="4">
        <v>2</v>
      </c>
      <c r="G44" s="1" t="s">
        <v>41</v>
      </c>
      <c r="H44" s="1"/>
      <c r="I44" s="1" t="s">
        <v>96</v>
      </c>
      <c r="J44" t="str">
        <f t="shared" ref="J44:J51" si="4">_xlfn.CONCAT(IF(B44=1,"",", "),C44," ",E44," ",G44,_xlfn.IFS(H44="","",H44="AUTO_INCREMENT"," AUTO_INCREMENT PRIMARY KEY",TRUE,_xlfn.CONCAT(" DEFAULT"," ",H44)), " COMMENT '",I44,"'")</f>
        <v>, CODE_DETAIL VARCHAR(10) NOT NULL COMMENT '코드상세'</v>
      </c>
    </row>
    <row r="45" spans="2:10" x14ac:dyDescent="0.4">
      <c r="B45" s="4">
        <v>3</v>
      </c>
      <c r="C45" s="1" t="s">
        <v>94</v>
      </c>
      <c r="D45" s="1" t="s">
        <v>95</v>
      </c>
      <c r="E45" s="4" t="s">
        <v>64</v>
      </c>
      <c r="F45" s="4"/>
      <c r="G45" s="1" t="s">
        <v>43</v>
      </c>
      <c r="H45" s="1" t="s">
        <v>58</v>
      </c>
      <c r="I45" s="1" t="s">
        <v>95</v>
      </c>
      <c r="J45" t="str">
        <f t="shared" si="4"/>
        <v>, CODE_DETAIL_NM VARCHAR(150) NULL COMMENT '코드상세명'</v>
      </c>
    </row>
    <row r="46" spans="2:10" x14ac:dyDescent="0.4">
      <c r="B46" s="4">
        <v>4</v>
      </c>
      <c r="C46" s="1" t="s">
        <v>242</v>
      </c>
      <c r="D46" s="1" t="s">
        <v>97</v>
      </c>
      <c r="E46" s="4" t="s">
        <v>23</v>
      </c>
      <c r="F46" s="4"/>
      <c r="G46" s="1" t="s">
        <v>43</v>
      </c>
      <c r="H46" s="1"/>
      <c r="I46" s="1" t="s">
        <v>97</v>
      </c>
      <c r="J46" t="str">
        <f t="shared" si="4"/>
        <v>, MODIFY_YN CHAR(1) NULL COMMENT '코드수정가능여부'</v>
      </c>
    </row>
    <row r="47" spans="2:10" x14ac:dyDescent="0.4">
      <c r="B47" s="4">
        <v>5</v>
      </c>
      <c r="C47" s="1" t="s">
        <v>243</v>
      </c>
      <c r="D47" s="1" t="s">
        <v>84</v>
      </c>
      <c r="E47" s="4" t="s">
        <v>92</v>
      </c>
      <c r="F47" s="4"/>
      <c r="G47" s="1" t="s">
        <v>43</v>
      </c>
      <c r="H47" s="1" t="s">
        <v>58</v>
      </c>
      <c r="I47" s="1" t="s">
        <v>84</v>
      </c>
      <c r="J47" t="str">
        <f t="shared" si="4"/>
        <v>, DETAIL_ORDER INT(2) NULL COMMENT '코드상세정렬순서'</v>
      </c>
    </row>
    <row r="48" spans="2:10" x14ac:dyDescent="0.4">
      <c r="B48" s="4">
        <v>6</v>
      </c>
      <c r="C48" s="1" t="s">
        <v>195</v>
      </c>
      <c r="D48" s="1" t="s">
        <v>197</v>
      </c>
      <c r="E48" s="4" t="s">
        <v>173</v>
      </c>
      <c r="F48" s="4"/>
      <c r="G48" s="1" t="s">
        <v>41</v>
      </c>
      <c r="H48" s="1" t="s">
        <v>58</v>
      </c>
      <c r="I48" s="1" t="s">
        <v>197</v>
      </c>
      <c r="J48" t="str">
        <f t="shared" si="4"/>
        <v>, FST_REG_SEQ INT NOT NULL COMMENT '최초등록자일련번호'</v>
      </c>
    </row>
    <row r="49" spans="2:10" x14ac:dyDescent="0.4">
      <c r="B49" s="4">
        <v>7</v>
      </c>
      <c r="C49" s="1" t="s">
        <v>50</v>
      </c>
      <c r="D49" s="1" t="s">
        <v>55</v>
      </c>
      <c r="E49" s="4" t="s">
        <v>49</v>
      </c>
      <c r="F49" s="4"/>
      <c r="G49" s="1" t="s">
        <v>41</v>
      </c>
      <c r="H49" s="1" t="s">
        <v>59</v>
      </c>
      <c r="I49" s="1" t="s">
        <v>55</v>
      </c>
      <c r="J49" t="str">
        <f t="shared" si="4"/>
        <v>, FST_REG_DTTI TIMESTAMP NOT NULL DEFAULT NOW() COMMENT '최초등록일시'</v>
      </c>
    </row>
    <row r="50" spans="2:10" x14ac:dyDescent="0.4">
      <c r="B50" s="4">
        <v>8</v>
      </c>
      <c r="C50" s="1" t="s">
        <v>241</v>
      </c>
      <c r="D50" s="1" t="s">
        <v>198</v>
      </c>
      <c r="E50" s="4" t="s">
        <v>173</v>
      </c>
      <c r="F50" s="4"/>
      <c r="G50" s="1" t="s">
        <v>41</v>
      </c>
      <c r="H50" s="1" t="s">
        <v>58</v>
      </c>
      <c r="I50" s="1" t="s">
        <v>198</v>
      </c>
      <c r="J50" t="str">
        <f t="shared" si="4"/>
        <v>, LST_UPD_SEQ INT NOT NULL COMMENT '최종수정자일련번호'</v>
      </c>
    </row>
    <row r="51" spans="2:10" x14ac:dyDescent="0.4">
      <c r="B51" s="4">
        <v>9</v>
      </c>
      <c r="C51" s="1" t="s">
        <v>239</v>
      </c>
      <c r="D51" s="1" t="s">
        <v>57</v>
      </c>
      <c r="E51" s="4" t="s">
        <v>49</v>
      </c>
      <c r="F51" s="4"/>
      <c r="G51" s="1" t="s">
        <v>41</v>
      </c>
      <c r="H51" s="1" t="s">
        <v>59</v>
      </c>
      <c r="I51" s="1" t="s">
        <v>57</v>
      </c>
      <c r="J51" t="str">
        <f t="shared" si="4"/>
        <v>, LST_UPD_DTTI TIMESTAMP NOT NULL DEFAULT NOW() COMMENT '최종수정일시'</v>
      </c>
    </row>
    <row r="52" spans="2:10" x14ac:dyDescent="0.4">
      <c r="J52" t="str">
        <f>_xlfn.CONCAT(") COMMENT '",E40,"';")</f>
        <v>) COMMENT '코드상세';</v>
      </c>
    </row>
    <row r="53" spans="2:10" x14ac:dyDescent="0.4">
      <c r="B53" s="5" t="s">
        <v>32</v>
      </c>
      <c r="C53" s="14" t="s">
        <v>44</v>
      </c>
      <c r="D53" s="14"/>
      <c r="E53" s="14"/>
      <c r="F53" s="14" t="s">
        <v>45</v>
      </c>
      <c r="G53" s="14"/>
      <c r="H53" s="14"/>
      <c r="I53" s="14"/>
      <c r="J53" t="str">
        <f>_xlfn.CONCAT("ALTER TABLE ",C40," ADD CONSTRAINT ",C54," PRIMARY KEY (")</f>
        <v>ALTER TABLE tb_code_detail ADD CONSTRAINT PK_tb_code_detail PRIMARY KEY (</v>
      </c>
    </row>
    <row r="54" spans="2:10" x14ac:dyDescent="0.4">
      <c r="B54" s="4">
        <v>1</v>
      </c>
      <c r="C54" s="15" t="str">
        <f>_xlfn.CONCAT("PK_",C40)</f>
        <v>PK_tb_code_detail</v>
      </c>
      <c r="D54" s="15"/>
      <c r="E54" s="15"/>
      <c r="F54" s="15" t="str">
        <f>C43</f>
        <v>CODE_GROUP</v>
      </c>
      <c r="G54" s="15"/>
      <c r="H54" s="15"/>
      <c r="I54" s="15"/>
      <c r="J54" t="str">
        <f>_xlfn.CONCAT(IF(B54=1,"",", "),F54)</f>
        <v>CODE_GROUP</v>
      </c>
    </row>
    <row r="55" spans="2:10" x14ac:dyDescent="0.4">
      <c r="B55" s="4">
        <v>2</v>
      </c>
      <c r="C55" s="15" t="str">
        <f>_xlfn.CONCAT("PK_",C40)</f>
        <v>PK_tb_code_detail</v>
      </c>
      <c r="D55" s="15"/>
      <c r="E55" s="15"/>
      <c r="F55" s="15" t="str">
        <f>C44</f>
        <v>CODE_DETAIL</v>
      </c>
      <c r="G55" s="15"/>
      <c r="H55" s="15"/>
      <c r="I55" s="15"/>
      <c r="J55" t="str">
        <f>_xlfn.CONCAT(IF(B55=1,"",", "),F55)</f>
        <v>, CODE_DETAIL</v>
      </c>
    </row>
    <row r="56" spans="2:10" x14ac:dyDescent="0.4">
      <c r="J56" t="str">
        <f>_xlfn.CONCAT(");")</f>
        <v>);</v>
      </c>
    </row>
    <row r="57" spans="2:10" x14ac:dyDescent="0.4">
      <c r="B57" s="10" t="s">
        <v>28</v>
      </c>
      <c r="C57" s="11"/>
      <c r="D57" s="11"/>
      <c r="E57" s="11"/>
      <c r="F57" s="11"/>
      <c r="G57" s="11"/>
      <c r="H57" s="11"/>
      <c r="I57" s="12"/>
    </row>
    <row r="58" spans="2:10" x14ac:dyDescent="0.4">
      <c r="B58" s="5" t="s">
        <v>1</v>
      </c>
      <c r="C58" s="4" t="s">
        <v>263</v>
      </c>
      <c r="D58" s="5" t="s">
        <v>3</v>
      </c>
      <c r="E58" s="4" t="s">
        <v>110</v>
      </c>
      <c r="F58" s="5" t="s">
        <v>29</v>
      </c>
      <c r="G58" s="4" t="s">
        <v>38</v>
      </c>
      <c r="H58" s="5" t="s">
        <v>30</v>
      </c>
      <c r="I58" s="6">
        <v>44942</v>
      </c>
      <c r="J58" t="str">
        <f>_xlfn.CONCAT("DROP TABLE IF EXISTS ",C58,";")</f>
        <v>DROP TABLE IF EXISTS tb_log_login;</v>
      </c>
    </row>
    <row r="59" spans="2:10" x14ac:dyDescent="0.4">
      <c r="B59" s="5" t="s">
        <v>31</v>
      </c>
      <c r="C59" s="13" t="s">
        <v>71</v>
      </c>
      <c r="D59" s="13"/>
      <c r="E59" s="13"/>
      <c r="F59" s="13"/>
      <c r="G59" s="13"/>
      <c r="H59" s="13"/>
      <c r="I59" s="13"/>
      <c r="J59" t="str">
        <f>_xlfn.CONCAT("CREATE TABLE ",C58)</f>
        <v>CREATE TABLE tb_log_login</v>
      </c>
    </row>
    <row r="60" spans="2:10" x14ac:dyDescent="0.4">
      <c r="B60" s="5" t="s">
        <v>32</v>
      </c>
      <c r="C60" s="5" t="s">
        <v>1</v>
      </c>
      <c r="D60" s="5" t="s">
        <v>3</v>
      </c>
      <c r="E60" s="5" t="s">
        <v>33</v>
      </c>
      <c r="F60" s="5" t="s">
        <v>34</v>
      </c>
      <c r="G60" s="5" t="s">
        <v>35</v>
      </c>
      <c r="H60" s="5" t="s">
        <v>22</v>
      </c>
      <c r="I60" s="5" t="s">
        <v>36</v>
      </c>
      <c r="J60" t="str">
        <f>_xlfn.CONCAT("(")</f>
        <v>(</v>
      </c>
    </row>
    <row r="61" spans="2:10" x14ac:dyDescent="0.4">
      <c r="B61" s="4">
        <v>1</v>
      </c>
      <c r="C61" s="1" t="s">
        <v>93</v>
      </c>
      <c r="D61" s="1" t="s">
        <v>85</v>
      </c>
      <c r="E61" s="4" t="s">
        <v>173</v>
      </c>
      <c r="F61" s="4">
        <v>1</v>
      </c>
      <c r="G61" s="1" t="s">
        <v>41</v>
      </c>
      <c r="H61" s="1" t="s">
        <v>194</v>
      </c>
      <c r="I61" s="1" t="s">
        <v>85</v>
      </c>
      <c r="J61" t="str">
        <f t="shared" ref="J61:J66" si="5">_xlfn.CONCAT(IF(B61=1,"",", "),C61," ",E61," ",G61,_xlfn.IFS(H61="","",H61="AUTO_INCREMENT"," AUTO_INCREMENT PRIMARY KEY",TRUE,_xlfn.CONCAT(" DEFAULT"," ",H61)), " COMMENT '",I61,"'")</f>
        <v>LOGIN_SEQ INT NOT NULL AUTO_INCREMENT PRIMARY KEY COMMENT '로그인일련번호'</v>
      </c>
    </row>
    <row r="62" spans="2:10" x14ac:dyDescent="0.4">
      <c r="B62" s="4">
        <v>2</v>
      </c>
      <c r="C62" s="1" t="s">
        <v>73</v>
      </c>
      <c r="D62" s="1" t="s">
        <v>74</v>
      </c>
      <c r="E62" s="4" t="s">
        <v>49</v>
      </c>
      <c r="F62" s="4"/>
      <c r="G62" s="1" t="s">
        <v>43</v>
      </c>
      <c r="H62" s="1" t="s">
        <v>59</v>
      </c>
      <c r="I62" s="1" t="s">
        <v>74</v>
      </c>
      <c r="J62" t="str">
        <f t="shared" si="5"/>
        <v>, LOGIN_DTTI TIMESTAMP NULL DEFAULT NOW() COMMENT '로그인일시'</v>
      </c>
    </row>
    <row r="63" spans="2:10" x14ac:dyDescent="0.4">
      <c r="B63" s="4">
        <v>3</v>
      </c>
      <c r="C63" s="1" t="s">
        <v>192</v>
      </c>
      <c r="D63" s="1" t="s">
        <v>193</v>
      </c>
      <c r="E63" s="4" t="s">
        <v>173</v>
      </c>
      <c r="F63" s="4"/>
      <c r="G63" s="1" t="s">
        <v>43</v>
      </c>
      <c r="H63" s="1" t="s">
        <v>58</v>
      </c>
      <c r="I63" s="1" t="s">
        <v>193</v>
      </c>
      <c r="J63" t="str">
        <f t="shared" si="5"/>
        <v>, USER_SEQ INT NULL COMMENT '사용자일련번호'</v>
      </c>
    </row>
    <row r="64" spans="2:10" x14ac:dyDescent="0.4">
      <c r="B64" s="4">
        <v>4</v>
      </c>
      <c r="C64" s="1" t="s">
        <v>160</v>
      </c>
      <c r="D64" s="1" t="s">
        <v>77</v>
      </c>
      <c r="E64" s="4" t="s">
        <v>46</v>
      </c>
      <c r="F64" s="4"/>
      <c r="G64" s="1" t="s">
        <v>43</v>
      </c>
      <c r="H64" s="1"/>
      <c r="I64" s="1" t="s">
        <v>77</v>
      </c>
      <c r="J64" t="str">
        <f t="shared" si="5"/>
        <v>, USER_ID VARCHAR(20) NULL COMMENT '사용자아이디'</v>
      </c>
    </row>
    <row r="65" spans="2:10" x14ac:dyDescent="0.4">
      <c r="B65" s="4">
        <v>5</v>
      </c>
      <c r="C65" s="1" t="s">
        <v>155</v>
      </c>
      <c r="D65" s="1" t="s">
        <v>75</v>
      </c>
      <c r="E65" s="4" t="s">
        <v>72</v>
      </c>
      <c r="F65" s="4"/>
      <c r="G65" s="1" t="s">
        <v>43</v>
      </c>
      <c r="H65" s="1" t="s">
        <v>58</v>
      </c>
      <c r="I65" s="1" t="s">
        <v>75</v>
      </c>
      <c r="J65" t="str">
        <f t="shared" si="5"/>
        <v>, IP VARCHAR(39) NULL COMMENT '사용자아이피'</v>
      </c>
    </row>
    <row r="66" spans="2:10" x14ac:dyDescent="0.4">
      <c r="B66" s="4">
        <v>6</v>
      </c>
      <c r="C66" s="1" t="s">
        <v>287</v>
      </c>
      <c r="D66" s="1" t="s">
        <v>76</v>
      </c>
      <c r="E66" s="4" t="s">
        <v>24</v>
      </c>
      <c r="F66" s="4"/>
      <c r="G66" s="1" t="s">
        <v>43</v>
      </c>
      <c r="H66" s="1" t="s">
        <v>58</v>
      </c>
      <c r="I66" s="1" t="s">
        <v>76</v>
      </c>
      <c r="J66" t="str">
        <f t="shared" si="5"/>
        <v>, LOGIN_CODE VARCHAR(10) NULL COMMENT '로그인코드'</v>
      </c>
    </row>
    <row r="67" spans="2:10" x14ac:dyDescent="0.4">
      <c r="J67" t="str">
        <f>_xlfn.CONCAT(") COMMENT '",E58,"';")</f>
        <v>) COMMENT '로그인로그';</v>
      </c>
    </row>
    <row r="68" spans="2:10" x14ac:dyDescent="0.4">
      <c r="B68" s="10" t="s">
        <v>28</v>
      </c>
      <c r="C68" s="11"/>
      <c r="D68" s="11"/>
      <c r="E68" s="11"/>
      <c r="F68" s="11"/>
      <c r="G68" s="11"/>
      <c r="H68" s="11"/>
      <c r="I68" s="12"/>
    </row>
    <row r="69" spans="2:10" x14ac:dyDescent="0.4">
      <c r="B69" s="5" t="s">
        <v>1</v>
      </c>
      <c r="C69" s="4" t="s">
        <v>264</v>
      </c>
      <c r="D69" s="5" t="s">
        <v>3</v>
      </c>
      <c r="E69" s="4" t="s">
        <v>109</v>
      </c>
      <c r="F69" s="5" t="s">
        <v>29</v>
      </c>
      <c r="G69" s="4" t="s">
        <v>38</v>
      </c>
      <c r="H69" s="5" t="s">
        <v>30</v>
      </c>
      <c r="I69" s="6">
        <v>44944</v>
      </c>
      <c r="J69" t="str">
        <f>_xlfn.CONCAT("DROP TABLE IF EXISTS ",C69,";")</f>
        <v>DROP TABLE IF EXISTS tb_log_req;</v>
      </c>
    </row>
    <row r="70" spans="2:10" x14ac:dyDescent="0.4">
      <c r="B70" s="5" t="s">
        <v>31</v>
      </c>
      <c r="C70" s="13" t="s">
        <v>98</v>
      </c>
      <c r="D70" s="13"/>
      <c r="E70" s="13"/>
      <c r="F70" s="13"/>
      <c r="G70" s="13"/>
      <c r="H70" s="13"/>
      <c r="I70" s="13"/>
      <c r="J70" t="str">
        <f>_xlfn.CONCAT("CREATE TABLE ",C69)</f>
        <v>CREATE TABLE tb_log_req</v>
      </c>
    </row>
    <row r="71" spans="2:10" x14ac:dyDescent="0.4">
      <c r="B71" s="5" t="s">
        <v>32</v>
      </c>
      <c r="C71" s="5" t="s">
        <v>1</v>
      </c>
      <c r="D71" s="5" t="s">
        <v>3</v>
      </c>
      <c r="E71" s="5" t="s">
        <v>33</v>
      </c>
      <c r="F71" s="5" t="s">
        <v>34</v>
      </c>
      <c r="G71" s="5" t="s">
        <v>35</v>
      </c>
      <c r="H71" s="5" t="s">
        <v>22</v>
      </c>
      <c r="I71" s="5" t="s">
        <v>36</v>
      </c>
      <c r="J71" t="str">
        <f>_xlfn.CONCAT("(")</f>
        <v>(</v>
      </c>
    </row>
    <row r="72" spans="2:10" x14ac:dyDescent="0.4">
      <c r="B72" s="4">
        <v>1</v>
      </c>
      <c r="C72" s="1" t="s">
        <v>99</v>
      </c>
      <c r="D72" s="1" t="s">
        <v>100</v>
      </c>
      <c r="E72" s="4" t="s">
        <v>173</v>
      </c>
      <c r="F72" s="4">
        <v>1</v>
      </c>
      <c r="G72" s="1" t="s">
        <v>41</v>
      </c>
      <c r="H72" s="1" t="s">
        <v>194</v>
      </c>
      <c r="I72" s="1" t="s">
        <v>100</v>
      </c>
      <c r="J72" t="str">
        <f>_xlfn.CONCAT(IF(B72=1,"",", "),C72," ",E72," ",G72,_xlfn.IFS(H72="","",H72="AUTO_INCREMENT"," AUTO_INCREMENT PRIMARY KEY",TRUE,_xlfn.CONCAT(" DEFAULT"," ",H72)), " COMMENT '",I72,"'")</f>
        <v>REQ_SEQ INT NOT NULL AUTO_INCREMENT PRIMARY KEY COMMENT '요청일련번호'</v>
      </c>
    </row>
    <row r="73" spans="2:10" x14ac:dyDescent="0.4">
      <c r="B73" s="4">
        <v>2</v>
      </c>
      <c r="C73" s="1" t="s">
        <v>101</v>
      </c>
      <c r="D73" s="1" t="s">
        <v>102</v>
      </c>
      <c r="E73" s="4" t="s">
        <v>49</v>
      </c>
      <c r="F73" s="4"/>
      <c r="G73" s="1" t="s">
        <v>43</v>
      </c>
      <c r="H73" s="1" t="s">
        <v>59</v>
      </c>
      <c r="I73" s="1" t="s">
        <v>102</v>
      </c>
      <c r="J73" t="str">
        <f t="shared" ref="J73:J78" si="6">_xlfn.CONCAT(IF(B73=1,"",", "),C73," ",E73," ",G73,_xlfn.IFS(H73="","",H73="AUTO_INCREMENT"," AUTO_INCREMENT PRIMARY KEY",TRUE,_xlfn.CONCAT(" DEFAULT"," ",H73)), " COMMENT '",I73,"'")</f>
        <v>, REQ_DTTI TIMESTAMP NULL DEFAULT NOW() COMMENT '요청일시'</v>
      </c>
    </row>
    <row r="74" spans="2:10" x14ac:dyDescent="0.4">
      <c r="B74" s="4">
        <v>3</v>
      </c>
      <c r="C74" s="1" t="s">
        <v>192</v>
      </c>
      <c r="D74" s="1" t="s">
        <v>193</v>
      </c>
      <c r="E74" s="4" t="s">
        <v>173</v>
      </c>
      <c r="F74" s="4"/>
      <c r="G74" s="1" t="s">
        <v>43</v>
      </c>
      <c r="H74" s="1" t="s">
        <v>58</v>
      </c>
      <c r="I74" s="1" t="s">
        <v>193</v>
      </c>
      <c r="J74" t="str">
        <f t="shared" si="6"/>
        <v>, USER_SEQ INT NULL COMMENT '사용자일련번호'</v>
      </c>
    </row>
    <row r="75" spans="2:10" x14ac:dyDescent="0.4">
      <c r="B75" s="4">
        <v>5</v>
      </c>
      <c r="C75" s="1" t="s">
        <v>155</v>
      </c>
      <c r="D75" s="1" t="s">
        <v>75</v>
      </c>
      <c r="E75" s="4" t="s">
        <v>72</v>
      </c>
      <c r="F75" s="4"/>
      <c r="G75" s="1" t="s">
        <v>43</v>
      </c>
      <c r="H75" s="1" t="s">
        <v>58</v>
      </c>
      <c r="I75" s="1" t="s">
        <v>75</v>
      </c>
      <c r="J75" t="str">
        <f t="shared" si="6"/>
        <v>, IP VARCHAR(39) NULL COMMENT '사용자아이피'</v>
      </c>
    </row>
    <row r="76" spans="2:10" x14ac:dyDescent="0.4">
      <c r="B76" s="4">
        <v>6</v>
      </c>
      <c r="C76" s="1" t="s">
        <v>158</v>
      </c>
      <c r="D76" s="1" t="s">
        <v>103</v>
      </c>
      <c r="E76" s="4" t="s">
        <v>105</v>
      </c>
      <c r="F76" s="4"/>
      <c r="G76" s="1" t="s">
        <v>43</v>
      </c>
      <c r="H76" s="1" t="s">
        <v>58</v>
      </c>
      <c r="I76" s="1" t="s">
        <v>103</v>
      </c>
      <c r="J76" t="str">
        <f t="shared" si="6"/>
        <v>, URI VARCHAR(100) NULL COMMENT '요청경로'</v>
      </c>
    </row>
    <row r="77" spans="2:10" x14ac:dyDescent="0.4">
      <c r="B77" s="4">
        <v>7</v>
      </c>
      <c r="C77" s="1" t="s">
        <v>159</v>
      </c>
      <c r="D77" s="1" t="s">
        <v>104</v>
      </c>
      <c r="E77" s="4" t="s">
        <v>106</v>
      </c>
      <c r="F77" s="4"/>
      <c r="G77" s="1" t="s">
        <v>43</v>
      </c>
      <c r="H77" s="1" t="s">
        <v>58</v>
      </c>
      <c r="I77" s="1" t="s">
        <v>104</v>
      </c>
      <c r="J77" t="str">
        <f t="shared" si="6"/>
        <v>, PARAM LONGTEXT NULL COMMENT '요청파라미터'</v>
      </c>
    </row>
    <row r="78" spans="2:10" x14ac:dyDescent="0.4">
      <c r="B78" s="4">
        <v>8</v>
      </c>
      <c r="C78" s="1" t="s">
        <v>107</v>
      </c>
      <c r="D78" s="1" t="s">
        <v>108</v>
      </c>
      <c r="E78" s="4" t="s">
        <v>105</v>
      </c>
      <c r="F78" s="4"/>
      <c r="G78" s="1" t="s">
        <v>43</v>
      </c>
      <c r="H78" s="1" t="s">
        <v>58</v>
      </c>
      <c r="I78" s="1" t="s">
        <v>108</v>
      </c>
      <c r="J78" t="str">
        <f t="shared" si="6"/>
        <v>, REQ_TYPE_CODE VARCHAR(100) NULL COMMENT '요청타입코드'</v>
      </c>
    </row>
    <row r="79" spans="2:10" x14ac:dyDescent="0.4">
      <c r="J79" t="str">
        <f>_xlfn.CONCAT(") COMMENT '",E69,"';")</f>
        <v>) COMMENT '요청로그';</v>
      </c>
    </row>
    <row r="80" spans="2:10" x14ac:dyDescent="0.4">
      <c r="B80" s="10" t="s">
        <v>28</v>
      </c>
      <c r="C80" s="11"/>
      <c r="D80" s="11"/>
      <c r="E80" s="11"/>
      <c r="F80" s="11"/>
      <c r="G80" s="11"/>
      <c r="H80" s="11"/>
      <c r="I80" s="12"/>
    </row>
    <row r="81" spans="2:10" x14ac:dyDescent="0.4">
      <c r="B81" s="5" t="s">
        <v>1</v>
      </c>
      <c r="C81" s="4" t="s">
        <v>265</v>
      </c>
      <c r="D81" s="5" t="s">
        <v>3</v>
      </c>
      <c r="E81" s="4" t="s">
        <v>111</v>
      </c>
      <c r="F81" s="5" t="s">
        <v>29</v>
      </c>
      <c r="G81" s="4" t="s">
        <v>38</v>
      </c>
      <c r="H81" s="5" t="s">
        <v>30</v>
      </c>
      <c r="I81" s="6">
        <v>44944</v>
      </c>
      <c r="J81" t="str">
        <f>_xlfn.CONCAT("DROP TABLE IF EXISTS ",C81,";")</f>
        <v>DROP TABLE IF EXISTS tb_mnu;</v>
      </c>
    </row>
    <row r="82" spans="2:10" x14ac:dyDescent="0.4">
      <c r="B82" s="5" t="s">
        <v>31</v>
      </c>
      <c r="C82" s="13" t="s">
        <v>112</v>
      </c>
      <c r="D82" s="13"/>
      <c r="E82" s="13"/>
      <c r="F82" s="13"/>
      <c r="G82" s="13"/>
      <c r="H82" s="13"/>
      <c r="I82" s="13"/>
      <c r="J82" t="str">
        <f>_xlfn.CONCAT("CREATE TABLE ",C81)</f>
        <v>CREATE TABLE tb_mnu</v>
      </c>
    </row>
    <row r="83" spans="2:10" x14ac:dyDescent="0.4">
      <c r="B83" s="5" t="s">
        <v>32</v>
      </c>
      <c r="C83" s="5" t="s">
        <v>1</v>
      </c>
      <c r="D83" s="5" t="s">
        <v>3</v>
      </c>
      <c r="E83" s="5" t="s">
        <v>33</v>
      </c>
      <c r="F83" s="5" t="s">
        <v>34</v>
      </c>
      <c r="G83" s="5" t="s">
        <v>35</v>
      </c>
      <c r="H83" s="5" t="s">
        <v>22</v>
      </c>
      <c r="I83" s="5" t="s">
        <v>36</v>
      </c>
      <c r="J83" t="str">
        <f>_xlfn.CONCAT("(")</f>
        <v>(</v>
      </c>
    </row>
    <row r="84" spans="2:10" x14ac:dyDescent="0.4">
      <c r="B84" s="4">
        <v>1</v>
      </c>
      <c r="C84" s="1" t="s">
        <v>130</v>
      </c>
      <c r="D84" s="1" t="s">
        <v>131</v>
      </c>
      <c r="E84" s="4" t="s">
        <v>173</v>
      </c>
      <c r="F84" s="4">
        <v>1</v>
      </c>
      <c r="G84" s="1" t="s">
        <v>40</v>
      </c>
      <c r="H84" s="1" t="s">
        <v>194</v>
      </c>
      <c r="I84" s="1" t="s">
        <v>131</v>
      </c>
      <c r="J84" t="str">
        <f>_xlfn.CONCAT(IF(B84=1,"",", "),C84," ",E84," ",G84,_xlfn.IFS(H84="","",H84="AUTO_INCREMENT"," AUTO_INCREMENT PRIMARY KEY",TRUE,_xlfn.CONCAT(" DEFAULT"," ",H84)), " COMMENT '",I84,"'")</f>
        <v>MNU_SEQ INT NOT NULL AUTO_INCREMENT PRIMARY KEY COMMENT '메뉴일련번호'</v>
      </c>
    </row>
    <row r="85" spans="2:10" x14ac:dyDescent="0.4">
      <c r="B85" s="4">
        <v>2</v>
      </c>
      <c r="C85" s="1" t="s">
        <v>156</v>
      </c>
      <c r="D85" s="1" t="s">
        <v>113</v>
      </c>
      <c r="E85" s="4" t="s">
        <v>105</v>
      </c>
      <c r="F85" s="4"/>
      <c r="G85" s="1" t="s">
        <v>40</v>
      </c>
      <c r="H85" s="1" t="s">
        <v>58</v>
      </c>
      <c r="I85" s="1" t="s">
        <v>113</v>
      </c>
      <c r="J85" t="str">
        <f t="shared" ref="J85:J99" si="7">_xlfn.CONCAT(IF(B85=1,"",", "),C85," ",E85," ",G85,_xlfn.IFS(H85="","",H85="AUTO_INCREMENT"," AUTO_INCREMENT PRIMARY KEY",TRUE,_xlfn.CONCAT(" DEFAULT"," ",H85)), " COMMENT '",I85,"'")</f>
        <v>, URL VARCHAR(100) NOT NULL COMMENT '메뉴경로'</v>
      </c>
    </row>
    <row r="86" spans="2:10" x14ac:dyDescent="0.4">
      <c r="B86" s="4">
        <v>3</v>
      </c>
      <c r="C86" s="1" t="s">
        <v>114</v>
      </c>
      <c r="D86" s="1" t="s">
        <v>115</v>
      </c>
      <c r="E86" s="4" t="s">
        <v>63</v>
      </c>
      <c r="F86" s="4"/>
      <c r="G86" s="1" t="s">
        <v>42</v>
      </c>
      <c r="H86" s="1"/>
      <c r="I86" s="1" t="s">
        <v>115</v>
      </c>
      <c r="J86" t="str">
        <f>_xlfn.CONCAT(IF(B86=1,"",", "),C86," ",E86," ",G86,_xlfn.IFS(H86="","",H86="AUTO_INCREMENT"," AUTO_INCREMENT PRIMARY KEY",TRUE,_xlfn.CONCAT(" DEFAULT"," ",H86)), " COMMENT '",I86,"'")</f>
        <v>, MNU_NM VARCHAR(150) NULL COMMENT '메뉴명'</v>
      </c>
    </row>
    <row r="87" spans="2:10" x14ac:dyDescent="0.4">
      <c r="B87" s="4">
        <v>3</v>
      </c>
      <c r="C87" s="1" t="s">
        <v>223</v>
      </c>
      <c r="D87" s="1" t="s">
        <v>224</v>
      </c>
      <c r="E87" s="4" t="s">
        <v>63</v>
      </c>
      <c r="F87" s="4"/>
      <c r="G87" s="1" t="s">
        <v>42</v>
      </c>
      <c r="H87" s="1"/>
      <c r="I87" s="1" t="s">
        <v>224</v>
      </c>
      <c r="J87" t="str">
        <f t="shared" si="7"/>
        <v>, COMPNT_PATH VARCHAR(150) NULL COMMENT '컴퍼넌트경로'</v>
      </c>
    </row>
    <row r="88" spans="2:10" x14ac:dyDescent="0.4">
      <c r="B88" s="4">
        <v>3</v>
      </c>
      <c r="C88" s="1" t="s">
        <v>217</v>
      </c>
      <c r="D88" s="1" t="s">
        <v>216</v>
      </c>
      <c r="E88" s="4" t="s">
        <v>63</v>
      </c>
      <c r="F88" s="4"/>
      <c r="G88" s="1" t="s">
        <v>42</v>
      </c>
      <c r="H88" s="1"/>
      <c r="I88" s="1" t="s">
        <v>216</v>
      </c>
      <c r="J88" t="str">
        <f>_xlfn.CONCAT(IF(B88=1,"",", "),C88," ",E88," ",G88,_xlfn.IFS(H88="","",H88="AUTO_INCREMENT"," AUTO_INCREMENT PRIMARY KEY",TRUE,_xlfn.CONCAT(" DEFAULT"," ",H88)), " COMMENT '",I88,"'")</f>
        <v>, COMPNT_NM VARCHAR(150) NULL COMMENT '컴퍼넌트명'</v>
      </c>
    </row>
    <row r="89" spans="2:10" x14ac:dyDescent="0.4">
      <c r="B89" s="4">
        <v>5</v>
      </c>
      <c r="C89" s="1" t="s">
        <v>220</v>
      </c>
      <c r="D89" s="1" t="s">
        <v>221</v>
      </c>
      <c r="E89" s="4" t="s">
        <v>173</v>
      </c>
      <c r="F89" s="4"/>
      <c r="G89" s="1" t="s">
        <v>42</v>
      </c>
      <c r="H89" s="1" t="s">
        <v>58</v>
      </c>
      <c r="I89" s="1" t="s">
        <v>221</v>
      </c>
      <c r="J89" t="str">
        <f t="shared" si="7"/>
        <v>, UPPER_MNU_SEQ INT NULL COMMENT '상위메뉴일련번호'</v>
      </c>
    </row>
    <row r="90" spans="2:10" x14ac:dyDescent="0.4">
      <c r="B90" s="4">
        <v>6</v>
      </c>
      <c r="C90" s="1" t="s">
        <v>222</v>
      </c>
      <c r="D90" s="1" t="s">
        <v>116</v>
      </c>
      <c r="E90" s="4" t="s">
        <v>23</v>
      </c>
      <c r="F90" s="4"/>
      <c r="G90" s="1" t="s">
        <v>42</v>
      </c>
      <c r="H90" s="1" t="s">
        <v>117</v>
      </c>
      <c r="I90" s="1" t="s">
        <v>116</v>
      </c>
      <c r="J90" t="str">
        <f t="shared" si="7"/>
        <v>, OPEN_YN CHAR(1) NULL DEFAULT "Y" COMMENT '메뉴노출여부'</v>
      </c>
    </row>
    <row r="91" spans="2:10" x14ac:dyDescent="0.4">
      <c r="B91" s="4">
        <v>7</v>
      </c>
      <c r="C91" s="1" t="s">
        <v>157</v>
      </c>
      <c r="D91" s="1" t="s">
        <v>166</v>
      </c>
      <c r="E91" s="4" t="s">
        <v>23</v>
      </c>
      <c r="F91" s="4"/>
      <c r="G91" s="1" t="s">
        <v>42</v>
      </c>
      <c r="H91" s="1" t="s">
        <v>117</v>
      </c>
      <c r="I91" s="1" t="s">
        <v>166</v>
      </c>
      <c r="J91" t="str">
        <f t="shared" si="7"/>
        <v>, AUTH_YN CHAR(1) NULL DEFAULT "Y" COMMENT '권한검사여부'</v>
      </c>
    </row>
    <row r="92" spans="2:10" x14ac:dyDescent="0.4">
      <c r="B92" s="4">
        <v>8</v>
      </c>
      <c r="C92" s="1" t="s">
        <v>162</v>
      </c>
      <c r="D92" s="1" t="s">
        <v>118</v>
      </c>
      <c r="E92" s="4" t="s">
        <v>126</v>
      </c>
      <c r="F92" s="4"/>
      <c r="G92" s="1" t="s">
        <v>42</v>
      </c>
      <c r="H92" s="1" t="s">
        <v>58</v>
      </c>
      <c r="I92" s="1" t="s">
        <v>118</v>
      </c>
      <c r="J92" t="str">
        <f t="shared" si="7"/>
        <v>, MNU_LV INT(1) NULL COMMENT '메뉴레벨'</v>
      </c>
    </row>
    <row r="93" spans="2:10" x14ac:dyDescent="0.4">
      <c r="B93" s="4">
        <v>10</v>
      </c>
      <c r="C93" s="1" t="s">
        <v>164</v>
      </c>
      <c r="D93" s="1" t="s">
        <v>120</v>
      </c>
      <c r="E93" s="4" t="s">
        <v>92</v>
      </c>
      <c r="F93" s="4"/>
      <c r="G93" s="1" t="s">
        <v>42</v>
      </c>
      <c r="H93" s="1" t="s">
        <v>58</v>
      </c>
      <c r="I93" s="1" t="s">
        <v>120</v>
      </c>
      <c r="J93" t="str">
        <f>_xlfn.CONCAT(IF(B93=1,"",", "),C93," ",E93," ",G93,_xlfn.IFS(H93="","",H93="AUTO_INCREMENT"," AUTO_INCREMENT PRIMARY KEY",TRUE,_xlfn.CONCAT(" DEFAULT"," ",H93)), " COMMENT '",I93,"'")</f>
        <v>, MNU_ORDER INT(2) NULL COMMENT '메뉴표시순서'</v>
      </c>
    </row>
    <row r="94" spans="2:10" x14ac:dyDescent="0.4">
      <c r="B94" s="4">
        <v>9</v>
      </c>
      <c r="C94" s="1" t="s">
        <v>218</v>
      </c>
      <c r="D94" s="1" t="s">
        <v>119</v>
      </c>
      <c r="E94" s="4" t="s">
        <v>47</v>
      </c>
      <c r="F94" s="4"/>
      <c r="G94" s="1" t="s">
        <v>42</v>
      </c>
      <c r="H94" s="1" t="s">
        <v>58</v>
      </c>
      <c r="I94" s="1" t="s">
        <v>119</v>
      </c>
      <c r="J94" t="str">
        <f t="shared" si="7"/>
        <v>, MNU_INFO VARCHAR(300) NULL COMMENT '메뉴정보'</v>
      </c>
    </row>
    <row r="95" spans="2:10" x14ac:dyDescent="0.4">
      <c r="B95" s="4">
        <v>11</v>
      </c>
      <c r="C95" s="1" t="s">
        <v>219</v>
      </c>
      <c r="D95" s="1" t="s">
        <v>125</v>
      </c>
      <c r="E95" s="4" t="s">
        <v>124</v>
      </c>
      <c r="F95" s="4"/>
      <c r="G95" s="1" t="s">
        <v>42</v>
      </c>
      <c r="H95" s="1" t="s">
        <v>58</v>
      </c>
      <c r="I95" s="1" t="s">
        <v>125</v>
      </c>
      <c r="J95" t="str">
        <f t="shared" si="7"/>
        <v>, MNU_RMRK VARCHAR(3000) NULL COMMENT '메뉴비고'</v>
      </c>
    </row>
    <row r="96" spans="2:10" x14ac:dyDescent="0.4">
      <c r="B96" s="4">
        <v>12</v>
      </c>
      <c r="C96" s="1" t="s">
        <v>195</v>
      </c>
      <c r="D96" s="1" t="s">
        <v>197</v>
      </c>
      <c r="E96" s="4" t="s">
        <v>173</v>
      </c>
      <c r="F96" s="4"/>
      <c r="G96" s="1" t="s">
        <v>40</v>
      </c>
      <c r="H96" s="1" t="s">
        <v>58</v>
      </c>
      <c r="I96" s="1" t="s">
        <v>197</v>
      </c>
      <c r="J96" t="str">
        <f t="shared" si="7"/>
        <v>, FST_REG_SEQ INT NOT NULL COMMENT '최초등록자일련번호'</v>
      </c>
    </row>
    <row r="97" spans="2:10" x14ac:dyDescent="0.4">
      <c r="B97" s="4">
        <v>13</v>
      </c>
      <c r="C97" s="1" t="s">
        <v>50</v>
      </c>
      <c r="D97" s="1" t="s">
        <v>55</v>
      </c>
      <c r="E97" s="4" t="s">
        <v>49</v>
      </c>
      <c r="F97" s="4"/>
      <c r="G97" s="1" t="s">
        <v>40</v>
      </c>
      <c r="H97" s="1" t="s">
        <v>59</v>
      </c>
      <c r="I97" s="1" t="s">
        <v>55</v>
      </c>
      <c r="J97" t="str">
        <f t="shared" si="7"/>
        <v>, FST_REG_DTTI TIMESTAMP NOT NULL DEFAULT NOW() COMMENT '최초등록일시'</v>
      </c>
    </row>
    <row r="98" spans="2:10" x14ac:dyDescent="0.4">
      <c r="B98" s="4">
        <v>14</v>
      </c>
      <c r="C98" s="1" t="s">
        <v>241</v>
      </c>
      <c r="D98" s="1" t="s">
        <v>198</v>
      </c>
      <c r="E98" s="4" t="s">
        <v>173</v>
      </c>
      <c r="F98" s="4"/>
      <c r="G98" s="1" t="s">
        <v>40</v>
      </c>
      <c r="H98" s="1" t="s">
        <v>58</v>
      </c>
      <c r="I98" s="1" t="s">
        <v>198</v>
      </c>
      <c r="J98" t="str">
        <f t="shared" si="7"/>
        <v>, LST_UPD_SEQ INT NOT NULL COMMENT '최종수정자일련번호'</v>
      </c>
    </row>
    <row r="99" spans="2:10" x14ac:dyDescent="0.4">
      <c r="B99" s="4">
        <v>15</v>
      </c>
      <c r="C99" s="1" t="s">
        <v>239</v>
      </c>
      <c r="D99" s="1" t="s">
        <v>56</v>
      </c>
      <c r="E99" s="4" t="s">
        <v>49</v>
      </c>
      <c r="F99" s="4"/>
      <c r="G99" s="1" t="s">
        <v>40</v>
      </c>
      <c r="H99" s="1" t="s">
        <v>59</v>
      </c>
      <c r="I99" s="1" t="s">
        <v>56</v>
      </c>
      <c r="J99" t="str">
        <f t="shared" si="7"/>
        <v>, LST_UPD_DTTI TIMESTAMP NOT NULL DEFAULT NOW() COMMENT '최종수정일시'</v>
      </c>
    </row>
    <row r="100" spans="2:10" x14ac:dyDescent="0.4">
      <c r="J100" t="str">
        <f>_xlfn.CONCAT(") COMMENT '",E81,"';")</f>
        <v>) COMMENT '메뉴';</v>
      </c>
    </row>
    <row r="101" spans="2:10" x14ac:dyDescent="0.4">
      <c r="B101" s="10" t="s">
        <v>28</v>
      </c>
      <c r="C101" s="11"/>
      <c r="D101" s="11"/>
      <c r="E101" s="11"/>
      <c r="F101" s="11"/>
      <c r="G101" s="11"/>
      <c r="H101" s="11"/>
      <c r="I101" s="12"/>
    </row>
    <row r="102" spans="2:10" x14ac:dyDescent="0.4">
      <c r="B102" s="5" t="s">
        <v>1</v>
      </c>
      <c r="C102" s="4" t="s">
        <v>266</v>
      </c>
      <c r="D102" s="5" t="s">
        <v>3</v>
      </c>
      <c r="E102" s="4" t="s">
        <v>136</v>
      </c>
      <c r="F102" s="5" t="s">
        <v>29</v>
      </c>
      <c r="G102" s="4" t="s">
        <v>38</v>
      </c>
      <c r="H102" s="5" t="s">
        <v>30</v>
      </c>
      <c r="I102" s="6">
        <v>44945</v>
      </c>
      <c r="J102" t="str">
        <f>_xlfn.CONCAT("DROP TABLE IF EXISTS ",C102,";")</f>
        <v>DROP TABLE IF EXISTS tb_role;</v>
      </c>
    </row>
    <row r="103" spans="2:10" x14ac:dyDescent="0.4">
      <c r="B103" s="5" t="s">
        <v>31</v>
      </c>
      <c r="C103" s="13" t="s">
        <v>140</v>
      </c>
      <c r="D103" s="13"/>
      <c r="E103" s="13"/>
      <c r="F103" s="13"/>
      <c r="G103" s="13"/>
      <c r="H103" s="13"/>
      <c r="I103" s="13"/>
      <c r="J103" t="str">
        <f>_xlfn.CONCAT("CREATE TABLE ",C102)</f>
        <v>CREATE TABLE tb_role</v>
      </c>
    </row>
    <row r="104" spans="2:10" x14ac:dyDescent="0.4">
      <c r="B104" s="5" t="s">
        <v>32</v>
      </c>
      <c r="C104" s="5" t="s">
        <v>1</v>
      </c>
      <c r="D104" s="5" t="s">
        <v>3</v>
      </c>
      <c r="E104" s="5" t="s">
        <v>33</v>
      </c>
      <c r="F104" s="5" t="s">
        <v>34</v>
      </c>
      <c r="G104" s="5" t="s">
        <v>35</v>
      </c>
      <c r="H104" s="5" t="s">
        <v>22</v>
      </c>
      <c r="I104" s="5" t="s">
        <v>36</v>
      </c>
      <c r="J104" t="str">
        <f>_xlfn.CONCAT("(")</f>
        <v>(</v>
      </c>
    </row>
    <row r="105" spans="2:10" x14ac:dyDescent="0.4">
      <c r="B105" s="4">
        <v>1</v>
      </c>
      <c r="C105" s="1" t="s">
        <v>132</v>
      </c>
      <c r="D105" s="1" t="s">
        <v>134</v>
      </c>
      <c r="E105" s="4" t="s">
        <v>173</v>
      </c>
      <c r="F105" s="4">
        <v>1</v>
      </c>
      <c r="G105" s="1" t="s">
        <v>40</v>
      </c>
      <c r="H105" s="1" t="s">
        <v>194</v>
      </c>
      <c r="I105" s="1" t="s">
        <v>134</v>
      </c>
      <c r="J105" t="str">
        <f>_xlfn.CONCAT(IF(B105=1,"",", "),C105," ",E105," ",G105,_xlfn.IFS(H105="","",H105="AUTO_INCREMENT"," AUTO_INCREMENT PRIMARY KEY",TRUE,_xlfn.CONCAT(" DEFAULT"," ",H105)), " COMMENT '",I105,"'")</f>
        <v>ROLE_SEQ INT NOT NULL AUTO_INCREMENT PRIMARY KEY COMMENT '권한그룹일련번호'</v>
      </c>
    </row>
    <row r="106" spans="2:10" x14ac:dyDescent="0.4">
      <c r="B106" s="4">
        <v>2</v>
      </c>
      <c r="C106" s="1" t="s">
        <v>133</v>
      </c>
      <c r="D106" s="1" t="s">
        <v>135</v>
      </c>
      <c r="E106" s="4" t="s">
        <v>63</v>
      </c>
      <c r="F106" s="4"/>
      <c r="G106" s="1" t="s">
        <v>42</v>
      </c>
      <c r="H106" s="1" t="s">
        <v>58</v>
      </c>
      <c r="I106" s="1" t="s">
        <v>135</v>
      </c>
      <c r="J106" t="str">
        <f t="shared" ref="J106:J112" si="8">_xlfn.CONCAT(IF(B106=1,"",", "),C106," ",E106," ",G106,_xlfn.IFS(H106="","",H106="AUTO_INCREMENT"," AUTO_INCREMENT PRIMARY KEY",TRUE,_xlfn.CONCAT(" DEFAULT"," ",H106)), " COMMENT '",I106,"'")</f>
        <v>, ROLE_NM VARCHAR(150) NULL COMMENT '권한그룹명'</v>
      </c>
    </row>
    <row r="107" spans="2:10" x14ac:dyDescent="0.4">
      <c r="B107" s="4">
        <v>3</v>
      </c>
      <c r="C107" s="1" t="s">
        <v>163</v>
      </c>
      <c r="D107" s="1" t="s">
        <v>137</v>
      </c>
      <c r="E107" s="4" t="s">
        <v>92</v>
      </c>
      <c r="F107" s="4"/>
      <c r="G107" s="1" t="s">
        <v>42</v>
      </c>
      <c r="H107" s="1"/>
      <c r="I107" s="1" t="s">
        <v>137</v>
      </c>
      <c r="J107" t="str">
        <f t="shared" si="8"/>
        <v>, ROLE_ORDER INT(2) NULL COMMENT '권한그룹표시순서'</v>
      </c>
    </row>
    <row r="108" spans="2:10" x14ac:dyDescent="0.4">
      <c r="B108" s="4">
        <v>4</v>
      </c>
      <c r="C108" s="1" t="s">
        <v>154</v>
      </c>
      <c r="D108" s="1" t="s">
        <v>138</v>
      </c>
      <c r="E108" s="4" t="s">
        <v>124</v>
      </c>
      <c r="G108" s="1" t="s">
        <v>42</v>
      </c>
      <c r="H108" s="1" t="s">
        <v>58</v>
      </c>
      <c r="I108" s="1" t="s">
        <v>138</v>
      </c>
      <c r="J108" t="str">
        <f t="shared" si="8"/>
        <v>, RMRK VARCHAR(3000) NULL COMMENT '권한그룹비고'</v>
      </c>
    </row>
    <row r="109" spans="2:10" x14ac:dyDescent="0.4">
      <c r="B109" s="4">
        <v>5</v>
      </c>
      <c r="C109" s="1" t="s">
        <v>195</v>
      </c>
      <c r="D109" s="1" t="s">
        <v>197</v>
      </c>
      <c r="E109" s="4" t="s">
        <v>173</v>
      </c>
      <c r="F109" s="4"/>
      <c r="G109" s="1" t="s">
        <v>40</v>
      </c>
      <c r="H109" s="1" t="s">
        <v>58</v>
      </c>
      <c r="I109" s="1" t="s">
        <v>197</v>
      </c>
      <c r="J109" t="str">
        <f t="shared" si="8"/>
        <v>, FST_REG_SEQ INT NOT NULL COMMENT '최초등록자일련번호'</v>
      </c>
    </row>
    <row r="110" spans="2:10" x14ac:dyDescent="0.4">
      <c r="B110" s="4">
        <v>6</v>
      </c>
      <c r="C110" s="1" t="s">
        <v>50</v>
      </c>
      <c r="D110" s="1" t="s">
        <v>55</v>
      </c>
      <c r="E110" s="4" t="s">
        <v>49</v>
      </c>
      <c r="F110" s="4"/>
      <c r="G110" s="1" t="s">
        <v>40</v>
      </c>
      <c r="H110" s="1" t="s">
        <v>59</v>
      </c>
      <c r="I110" s="1" t="s">
        <v>55</v>
      </c>
      <c r="J110" t="str">
        <f t="shared" si="8"/>
        <v>, FST_REG_DTTI TIMESTAMP NOT NULL DEFAULT NOW() COMMENT '최초등록일시'</v>
      </c>
    </row>
    <row r="111" spans="2:10" x14ac:dyDescent="0.4">
      <c r="B111" s="4">
        <v>7</v>
      </c>
      <c r="C111" s="1" t="s">
        <v>241</v>
      </c>
      <c r="D111" s="1" t="s">
        <v>198</v>
      </c>
      <c r="E111" s="4" t="s">
        <v>173</v>
      </c>
      <c r="F111" s="4"/>
      <c r="G111" s="1" t="s">
        <v>40</v>
      </c>
      <c r="H111" s="1" t="s">
        <v>58</v>
      </c>
      <c r="I111" s="1" t="s">
        <v>198</v>
      </c>
      <c r="J111" t="str">
        <f t="shared" si="8"/>
        <v>, LST_UPD_SEQ INT NOT NULL COMMENT '최종수정자일련번호'</v>
      </c>
    </row>
    <row r="112" spans="2:10" x14ac:dyDescent="0.4">
      <c r="B112" s="4">
        <v>8</v>
      </c>
      <c r="C112" s="1" t="s">
        <v>239</v>
      </c>
      <c r="D112" s="1" t="s">
        <v>56</v>
      </c>
      <c r="E112" s="4" t="s">
        <v>49</v>
      </c>
      <c r="F112" s="4"/>
      <c r="G112" s="1" t="s">
        <v>40</v>
      </c>
      <c r="H112" s="1" t="s">
        <v>59</v>
      </c>
      <c r="I112" s="1" t="s">
        <v>56</v>
      </c>
      <c r="J112" t="str">
        <f t="shared" si="8"/>
        <v>, LST_UPD_DTTI TIMESTAMP NOT NULL DEFAULT NOW() COMMENT '최종수정일시'</v>
      </c>
    </row>
    <row r="113" spans="2:10" x14ac:dyDescent="0.4">
      <c r="J113" t="str">
        <f>_xlfn.CONCAT(") COMMENT '",E102,"';")</f>
        <v>) COMMENT '권한그룹';</v>
      </c>
    </row>
    <row r="114" spans="2:10" x14ac:dyDescent="0.4">
      <c r="B114" s="10" t="s">
        <v>28</v>
      </c>
      <c r="C114" s="11"/>
      <c r="D114" s="11"/>
      <c r="E114" s="11"/>
      <c r="F114" s="11"/>
      <c r="G114" s="11"/>
      <c r="H114" s="11"/>
      <c r="I114" s="12"/>
    </row>
    <row r="115" spans="2:10" x14ac:dyDescent="0.4">
      <c r="B115" s="5" t="s">
        <v>1</v>
      </c>
      <c r="C115" s="4" t="s">
        <v>267</v>
      </c>
      <c r="D115" s="5" t="s">
        <v>3</v>
      </c>
      <c r="E115" s="4" t="s">
        <v>139</v>
      </c>
      <c r="F115" s="5" t="s">
        <v>29</v>
      </c>
      <c r="G115" s="4" t="s">
        <v>38</v>
      </c>
      <c r="H115" s="5" t="s">
        <v>30</v>
      </c>
      <c r="I115" s="6">
        <v>44945</v>
      </c>
      <c r="J115" t="str">
        <f>_xlfn.CONCAT("DROP TABLE IF EXISTS ",C115,";")</f>
        <v>DROP TABLE IF EXISTS tb_user_role_map;</v>
      </c>
    </row>
    <row r="116" spans="2:10" x14ac:dyDescent="0.4">
      <c r="B116" s="5" t="s">
        <v>31</v>
      </c>
      <c r="C116" s="13" t="s">
        <v>141</v>
      </c>
      <c r="D116" s="13"/>
      <c r="E116" s="13"/>
      <c r="F116" s="13"/>
      <c r="G116" s="13"/>
      <c r="H116" s="13"/>
      <c r="I116" s="13"/>
      <c r="J116" t="str">
        <f>_xlfn.CONCAT("CREATE TABLE ",C115)</f>
        <v>CREATE TABLE tb_user_role_map</v>
      </c>
    </row>
    <row r="117" spans="2:10" x14ac:dyDescent="0.4">
      <c r="B117" s="5" t="s">
        <v>32</v>
      </c>
      <c r="C117" s="5" t="s">
        <v>1</v>
      </c>
      <c r="D117" s="5" t="s">
        <v>3</v>
      </c>
      <c r="E117" s="5" t="s">
        <v>33</v>
      </c>
      <c r="F117" s="5" t="s">
        <v>34</v>
      </c>
      <c r="G117" s="5" t="s">
        <v>35</v>
      </c>
      <c r="H117" s="5" t="s">
        <v>22</v>
      </c>
      <c r="I117" s="5" t="s">
        <v>36</v>
      </c>
      <c r="J117" t="str">
        <f>_xlfn.CONCAT("(")</f>
        <v>(</v>
      </c>
    </row>
    <row r="118" spans="2:10" x14ac:dyDescent="0.4">
      <c r="B118" s="4">
        <v>1</v>
      </c>
      <c r="C118" s="1" t="s">
        <v>192</v>
      </c>
      <c r="D118" s="1" t="s">
        <v>77</v>
      </c>
      <c r="E118" s="4" t="s">
        <v>173</v>
      </c>
      <c r="F118" s="4">
        <v>1</v>
      </c>
      <c r="G118" s="1" t="s">
        <v>41</v>
      </c>
      <c r="H118" s="1"/>
      <c r="I118" s="1" t="s">
        <v>77</v>
      </c>
      <c r="J118" t="str">
        <f t="shared" ref="J118:J123" si="9">_xlfn.CONCAT(IF(B118=1,"",", "),C118," ",E118," ",G118,_xlfn.IFS(H118="","",H118="AUTO_INCREMENT"," AUTO_INCREMENT PRIMARY KEY",TRUE,_xlfn.CONCAT(" DEFAULT"," ",H118)), " COMMENT '",I118,"'")</f>
        <v>USER_SEQ INT NOT NULL COMMENT '사용자아이디'</v>
      </c>
    </row>
    <row r="119" spans="2:10" x14ac:dyDescent="0.4">
      <c r="B119" s="4">
        <v>2</v>
      </c>
      <c r="C119" s="1" t="s">
        <v>132</v>
      </c>
      <c r="D119" s="1" t="s">
        <v>134</v>
      </c>
      <c r="E119" s="4" t="s">
        <v>67</v>
      </c>
      <c r="F119" s="4">
        <v>2</v>
      </c>
      <c r="G119" s="1" t="s">
        <v>40</v>
      </c>
      <c r="H119" s="1" t="s">
        <v>58</v>
      </c>
      <c r="I119" s="1" t="s">
        <v>134</v>
      </c>
      <c r="J119" t="str">
        <f t="shared" si="9"/>
        <v>, ROLE_SEQ VARCHAR(10) NOT NULL COMMENT '권한그룹일련번호'</v>
      </c>
    </row>
    <row r="120" spans="2:10" x14ac:dyDescent="0.4">
      <c r="B120" s="4">
        <v>3</v>
      </c>
      <c r="C120" s="1" t="s">
        <v>195</v>
      </c>
      <c r="D120" s="1" t="s">
        <v>197</v>
      </c>
      <c r="E120" s="4" t="s">
        <v>173</v>
      </c>
      <c r="F120" s="4"/>
      <c r="G120" s="1" t="s">
        <v>40</v>
      </c>
      <c r="H120" s="1" t="s">
        <v>58</v>
      </c>
      <c r="I120" s="1" t="s">
        <v>197</v>
      </c>
      <c r="J120" t="str">
        <f t="shared" si="9"/>
        <v>, FST_REG_SEQ INT NOT NULL COMMENT '최초등록자일련번호'</v>
      </c>
    </row>
    <row r="121" spans="2:10" x14ac:dyDescent="0.4">
      <c r="B121" s="4">
        <v>4</v>
      </c>
      <c r="C121" s="1" t="s">
        <v>50</v>
      </c>
      <c r="D121" s="1" t="s">
        <v>55</v>
      </c>
      <c r="E121" s="4" t="s">
        <v>49</v>
      </c>
      <c r="F121" s="4"/>
      <c r="G121" s="1" t="s">
        <v>40</v>
      </c>
      <c r="H121" s="1" t="s">
        <v>59</v>
      </c>
      <c r="I121" s="1" t="s">
        <v>55</v>
      </c>
      <c r="J121" t="str">
        <f t="shared" si="9"/>
        <v>, FST_REG_DTTI TIMESTAMP NOT NULL DEFAULT NOW() COMMENT '최초등록일시'</v>
      </c>
    </row>
    <row r="122" spans="2:10" x14ac:dyDescent="0.4">
      <c r="B122" s="4">
        <v>5</v>
      </c>
      <c r="C122" s="1" t="s">
        <v>241</v>
      </c>
      <c r="D122" s="1" t="s">
        <v>198</v>
      </c>
      <c r="E122" s="4" t="s">
        <v>173</v>
      </c>
      <c r="F122" s="4"/>
      <c r="G122" s="1" t="s">
        <v>40</v>
      </c>
      <c r="H122" s="1" t="s">
        <v>58</v>
      </c>
      <c r="I122" s="1" t="s">
        <v>198</v>
      </c>
      <c r="J122" t="str">
        <f t="shared" si="9"/>
        <v>, LST_UPD_SEQ INT NOT NULL COMMENT '최종수정자일련번호'</v>
      </c>
    </row>
    <row r="123" spans="2:10" x14ac:dyDescent="0.4">
      <c r="B123" s="4">
        <v>6</v>
      </c>
      <c r="C123" s="1" t="s">
        <v>239</v>
      </c>
      <c r="D123" s="1" t="s">
        <v>56</v>
      </c>
      <c r="E123" s="4" t="s">
        <v>49</v>
      </c>
      <c r="F123" s="4"/>
      <c r="G123" s="1" t="s">
        <v>40</v>
      </c>
      <c r="H123" s="1" t="s">
        <v>59</v>
      </c>
      <c r="I123" s="1" t="s">
        <v>56</v>
      </c>
      <c r="J123" t="str">
        <f t="shared" si="9"/>
        <v>, LST_UPD_DTTI TIMESTAMP NOT NULL DEFAULT NOW() COMMENT '최종수정일시'</v>
      </c>
    </row>
    <row r="124" spans="2:10" x14ac:dyDescent="0.4">
      <c r="J124" t="str">
        <f>_xlfn.CONCAT(") COMMENT '",E115,"';")</f>
        <v>) COMMENT '사용자_권한그룹_매핑';</v>
      </c>
    </row>
    <row r="125" spans="2:10" x14ac:dyDescent="0.4">
      <c r="B125" s="5" t="s">
        <v>32</v>
      </c>
      <c r="C125" s="14" t="s">
        <v>44</v>
      </c>
      <c r="D125" s="14"/>
      <c r="E125" s="14"/>
      <c r="F125" s="14" t="s">
        <v>45</v>
      </c>
      <c r="G125" s="14"/>
      <c r="H125" s="14"/>
      <c r="I125" s="14"/>
      <c r="J125" t="str">
        <f>_xlfn.CONCAT("ALTER TABLE ",C115," ADD CONSTRAINT ",C127," PRIMARY KEY (")</f>
        <v>ALTER TABLE tb_user_role_map ADD CONSTRAINT PK_tb_user_role_map PRIMARY KEY (</v>
      </c>
    </row>
    <row r="126" spans="2:10" x14ac:dyDescent="0.4">
      <c r="B126" s="4">
        <v>1</v>
      </c>
      <c r="C126" s="15" t="str">
        <f>_xlfn.CONCAT("PK_",C115)</f>
        <v>PK_tb_user_role_map</v>
      </c>
      <c r="D126" s="15"/>
      <c r="E126" s="15"/>
      <c r="F126" s="15" t="str">
        <f>C118</f>
        <v>USER_SEQ</v>
      </c>
      <c r="G126" s="15"/>
      <c r="H126" s="15"/>
      <c r="I126" s="15"/>
      <c r="J126" t="str">
        <f>_xlfn.CONCAT(IF(B126=1,"",", "),F126)</f>
        <v>USER_SEQ</v>
      </c>
    </row>
    <row r="127" spans="2:10" x14ac:dyDescent="0.4">
      <c r="B127" s="4">
        <v>2</v>
      </c>
      <c r="C127" s="15" t="str">
        <f>_xlfn.CONCAT("PK_",C115)</f>
        <v>PK_tb_user_role_map</v>
      </c>
      <c r="D127" s="15"/>
      <c r="E127" s="15"/>
      <c r="F127" s="15" t="str">
        <f>C119</f>
        <v>ROLE_SEQ</v>
      </c>
      <c r="G127" s="15"/>
      <c r="H127" s="15"/>
      <c r="I127" s="15"/>
      <c r="J127" t="str">
        <f>_xlfn.CONCAT(IF(B127=1,"",", "),F127)</f>
        <v>, ROLE_SEQ</v>
      </c>
    </row>
    <row r="128" spans="2:10" x14ac:dyDescent="0.4">
      <c r="J128" t="str">
        <f>_xlfn.CONCAT(");")</f>
        <v>);</v>
      </c>
    </row>
    <row r="129" spans="2:10" x14ac:dyDescent="0.4">
      <c r="B129" s="10" t="s">
        <v>28</v>
      </c>
      <c r="C129" s="11"/>
      <c r="D129" s="11"/>
      <c r="E129" s="11"/>
      <c r="F129" s="11"/>
      <c r="G129" s="11"/>
      <c r="H129" s="11"/>
      <c r="I129" s="12"/>
    </row>
    <row r="130" spans="2:10" x14ac:dyDescent="0.4">
      <c r="B130" s="5" t="s">
        <v>1</v>
      </c>
      <c r="C130" s="4" t="s">
        <v>268</v>
      </c>
      <c r="D130" s="5" t="s">
        <v>3</v>
      </c>
      <c r="E130" s="4" t="s">
        <v>142</v>
      </c>
      <c r="F130" s="5" t="s">
        <v>29</v>
      </c>
      <c r="G130" s="4" t="s">
        <v>38</v>
      </c>
      <c r="H130" s="5" t="s">
        <v>30</v>
      </c>
      <c r="I130" s="6">
        <v>44945</v>
      </c>
      <c r="J130" t="str">
        <f>_xlfn.CONCAT("DROP TABLE IF EXISTS ",C130,";")</f>
        <v>DROP TABLE IF EXISTS tb_auth;</v>
      </c>
    </row>
    <row r="131" spans="2:10" x14ac:dyDescent="0.4">
      <c r="B131" s="5" t="s">
        <v>31</v>
      </c>
      <c r="C131" s="13" t="s">
        <v>143</v>
      </c>
      <c r="D131" s="13"/>
      <c r="E131" s="13"/>
      <c r="F131" s="13"/>
      <c r="G131" s="13"/>
      <c r="H131" s="13"/>
      <c r="I131" s="13"/>
      <c r="J131" t="str">
        <f>_xlfn.CONCAT("CREATE TABLE ",C130)</f>
        <v>CREATE TABLE tb_auth</v>
      </c>
    </row>
    <row r="132" spans="2:10" x14ac:dyDescent="0.4">
      <c r="B132" s="5" t="s">
        <v>32</v>
      </c>
      <c r="C132" s="5" t="s">
        <v>1</v>
      </c>
      <c r="D132" s="5" t="s">
        <v>3</v>
      </c>
      <c r="E132" s="5" t="s">
        <v>33</v>
      </c>
      <c r="F132" s="5" t="s">
        <v>34</v>
      </c>
      <c r="G132" s="5" t="s">
        <v>35</v>
      </c>
      <c r="H132" s="5" t="s">
        <v>22</v>
      </c>
      <c r="I132" s="5" t="s">
        <v>36</v>
      </c>
      <c r="J132" t="str">
        <f>_xlfn.CONCAT("(")</f>
        <v>(</v>
      </c>
    </row>
    <row r="133" spans="2:10" x14ac:dyDescent="0.4">
      <c r="B133" s="4">
        <v>1</v>
      </c>
      <c r="C133" s="1" t="s">
        <v>130</v>
      </c>
      <c r="D133" s="1" t="s">
        <v>131</v>
      </c>
      <c r="E133" s="4" t="s">
        <v>173</v>
      </c>
      <c r="F133" s="4">
        <v>1</v>
      </c>
      <c r="G133" s="1" t="s">
        <v>40</v>
      </c>
      <c r="H133" s="1"/>
      <c r="I133" s="1" t="s">
        <v>131</v>
      </c>
      <c r="J133" t="str">
        <f>_xlfn.CONCAT(IF(B133=1,"",", "),C133," ",E133," ",G133,_xlfn.IFS(H133="","",H133="AUTO_INCREMENT"," AUTO_INCREMENT PRIMARY KEY",TRUE,_xlfn.CONCAT(" DEFAULT"," ",H133)), " COMMENT '",I133,"'")</f>
        <v>MNU_SEQ INT NOT NULL COMMENT '메뉴일련번호'</v>
      </c>
    </row>
    <row r="134" spans="2:10" x14ac:dyDescent="0.4">
      <c r="B134" s="4">
        <v>2</v>
      </c>
      <c r="C134" s="1" t="s">
        <v>132</v>
      </c>
      <c r="D134" s="1" t="s">
        <v>134</v>
      </c>
      <c r="E134" s="4" t="s">
        <v>67</v>
      </c>
      <c r="F134" s="4">
        <v>2</v>
      </c>
      <c r="G134" s="1" t="s">
        <v>40</v>
      </c>
      <c r="H134" s="1" t="s">
        <v>58</v>
      </c>
      <c r="I134" s="1" t="s">
        <v>134</v>
      </c>
      <c r="J134" t="str">
        <f t="shared" ref="J134:J140" si="10">_xlfn.CONCAT(IF(B134=1,"",", "),C134," ",E134," ",G134,_xlfn.IFS(H134="","",H134="AUTO_INCREMENT"," AUTO_INCREMENT PRIMARY KEY",TRUE,_xlfn.CONCAT(" DEFAULT"," ",H134)), " COMMENT '",I134,"'")</f>
        <v>, ROLE_SEQ VARCHAR(10) NOT NULL COMMENT '권한그룹일련번호'</v>
      </c>
    </row>
    <row r="135" spans="2:10" x14ac:dyDescent="0.4">
      <c r="B135" s="4">
        <v>3</v>
      </c>
      <c r="C135" s="1" t="s">
        <v>144</v>
      </c>
      <c r="D135" s="1" t="s">
        <v>145</v>
      </c>
      <c r="E135" s="4" t="s">
        <v>126</v>
      </c>
      <c r="F135" s="4"/>
      <c r="G135" s="1" t="s">
        <v>42</v>
      </c>
      <c r="H135" s="1" t="s">
        <v>58</v>
      </c>
      <c r="I135" s="1" t="s">
        <v>152</v>
      </c>
      <c r="J135" t="str">
        <f t="shared" si="10"/>
        <v>, AUTH_GRADE INT(1) NULL COMMENT '권한등급(1:읽기, 2:읽기/쓰기, 3:기타권한1, 4:기타권한2 ...)'</v>
      </c>
    </row>
    <row r="136" spans="2:10" x14ac:dyDescent="0.4">
      <c r="B136" s="4">
        <v>4</v>
      </c>
      <c r="C136" s="1" t="s">
        <v>146</v>
      </c>
      <c r="D136" s="1" t="s">
        <v>147</v>
      </c>
      <c r="E136" s="4" t="s">
        <v>151</v>
      </c>
      <c r="F136" s="4"/>
      <c r="G136" s="1" t="s">
        <v>42</v>
      </c>
      <c r="H136" s="1" t="s">
        <v>58</v>
      </c>
      <c r="I136" s="1" t="s">
        <v>153</v>
      </c>
      <c r="J136" t="str">
        <f t="shared" si="10"/>
        <v>, AUTH_NM VARCHAR(300) NULL COMMENT '권한명(1:읽기, 2:읽기/쓰기, 3:기타권한1, 4:기타권한2 ...)'</v>
      </c>
    </row>
    <row r="137" spans="2:10" x14ac:dyDescent="0.4">
      <c r="B137" s="4">
        <v>5</v>
      </c>
      <c r="C137" s="1" t="s">
        <v>195</v>
      </c>
      <c r="D137" s="1" t="s">
        <v>197</v>
      </c>
      <c r="E137" s="4" t="s">
        <v>173</v>
      </c>
      <c r="F137" s="4"/>
      <c r="G137" s="1" t="s">
        <v>40</v>
      </c>
      <c r="H137" s="1" t="s">
        <v>58</v>
      </c>
      <c r="I137" s="1" t="s">
        <v>197</v>
      </c>
      <c r="J137" t="str">
        <f t="shared" si="10"/>
        <v>, FST_REG_SEQ INT NOT NULL COMMENT '최초등록자일련번호'</v>
      </c>
    </row>
    <row r="138" spans="2:10" x14ac:dyDescent="0.4">
      <c r="B138" s="4">
        <v>6</v>
      </c>
      <c r="C138" s="1" t="s">
        <v>50</v>
      </c>
      <c r="D138" s="1" t="s">
        <v>55</v>
      </c>
      <c r="E138" s="4" t="s">
        <v>49</v>
      </c>
      <c r="F138" s="4"/>
      <c r="G138" s="1" t="s">
        <v>40</v>
      </c>
      <c r="H138" s="1" t="s">
        <v>59</v>
      </c>
      <c r="I138" s="1" t="s">
        <v>55</v>
      </c>
      <c r="J138" t="str">
        <f t="shared" si="10"/>
        <v>, FST_REG_DTTI TIMESTAMP NOT NULL DEFAULT NOW() COMMENT '최초등록일시'</v>
      </c>
    </row>
    <row r="139" spans="2:10" x14ac:dyDescent="0.4">
      <c r="B139" s="4">
        <v>7</v>
      </c>
      <c r="C139" s="1" t="s">
        <v>241</v>
      </c>
      <c r="D139" s="1" t="s">
        <v>198</v>
      </c>
      <c r="E139" s="4" t="s">
        <v>173</v>
      </c>
      <c r="F139" s="4"/>
      <c r="G139" s="1" t="s">
        <v>40</v>
      </c>
      <c r="H139" s="1" t="s">
        <v>58</v>
      </c>
      <c r="I139" s="1" t="s">
        <v>198</v>
      </c>
      <c r="J139" t="str">
        <f t="shared" si="10"/>
        <v>, LST_UPD_SEQ INT NOT NULL COMMENT '최종수정자일련번호'</v>
      </c>
    </row>
    <row r="140" spans="2:10" x14ac:dyDescent="0.4">
      <c r="B140" s="4">
        <v>8</v>
      </c>
      <c r="C140" s="1" t="s">
        <v>239</v>
      </c>
      <c r="D140" s="1" t="s">
        <v>56</v>
      </c>
      <c r="E140" s="4" t="s">
        <v>49</v>
      </c>
      <c r="F140" s="4"/>
      <c r="G140" s="1" t="s">
        <v>40</v>
      </c>
      <c r="H140" s="1" t="s">
        <v>59</v>
      </c>
      <c r="I140" s="1" t="s">
        <v>56</v>
      </c>
      <c r="J140" t="str">
        <f t="shared" si="10"/>
        <v>, LST_UPD_DTTI TIMESTAMP NOT NULL DEFAULT NOW() COMMENT '최종수정일시'</v>
      </c>
    </row>
    <row r="141" spans="2:10" x14ac:dyDescent="0.4">
      <c r="J141" t="str">
        <f>_xlfn.CONCAT(") COMMENT '",E130,"';")</f>
        <v>) COMMENT '권한';</v>
      </c>
    </row>
    <row r="142" spans="2:10" x14ac:dyDescent="0.4">
      <c r="B142" s="5" t="s">
        <v>32</v>
      </c>
      <c r="C142" s="14" t="s">
        <v>44</v>
      </c>
      <c r="D142" s="14"/>
      <c r="E142" s="14"/>
      <c r="F142" s="14" t="s">
        <v>45</v>
      </c>
      <c r="G142" s="14"/>
      <c r="H142" s="14"/>
      <c r="I142" s="14"/>
      <c r="J142" t="str">
        <f>_xlfn.CONCAT("ALTER TABLE ",C130," ADD CONSTRAINT ",C144," PRIMARY KEY (")</f>
        <v>ALTER TABLE tb_auth ADD CONSTRAINT PK_tb_auth PRIMARY KEY (</v>
      </c>
    </row>
    <row r="143" spans="2:10" x14ac:dyDescent="0.4">
      <c r="B143" s="4">
        <v>1</v>
      </c>
      <c r="C143" s="15" t="str">
        <f>_xlfn.CONCAT("PK_",C130)</f>
        <v>PK_tb_auth</v>
      </c>
      <c r="D143" s="15"/>
      <c r="E143" s="15"/>
      <c r="F143" s="15" t="str">
        <f>C133</f>
        <v>MNU_SEQ</v>
      </c>
      <c r="G143" s="15"/>
      <c r="H143" s="15"/>
      <c r="I143" s="15"/>
      <c r="J143" t="str">
        <f>_xlfn.CONCAT(IF(B143=1,"",", "),F143)</f>
        <v>MNU_SEQ</v>
      </c>
    </row>
    <row r="144" spans="2:10" x14ac:dyDescent="0.4">
      <c r="B144" s="4">
        <v>2</v>
      </c>
      <c r="C144" s="15" t="str">
        <f>_xlfn.CONCAT("PK_",C130)</f>
        <v>PK_tb_auth</v>
      </c>
      <c r="D144" s="15"/>
      <c r="E144" s="15"/>
      <c r="F144" s="15" t="str">
        <f>C134</f>
        <v>ROLE_SEQ</v>
      </c>
      <c r="G144" s="15"/>
      <c r="H144" s="15"/>
      <c r="I144" s="15"/>
      <c r="J144" t="str">
        <f>_xlfn.CONCAT(IF(B144=1,"",", "),F144)</f>
        <v>, ROLE_SEQ</v>
      </c>
    </row>
    <row r="145" spans="2:10" x14ac:dyDescent="0.4">
      <c r="J145" t="str">
        <f>_xlfn.CONCAT(");")</f>
        <v>);</v>
      </c>
    </row>
    <row r="146" spans="2:10" x14ac:dyDescent="0.4">
      <c r="B146" s="10" t="s">
        <v>28</v>
      </c>
      <c r="C146" s="11"/>
      <c r="D146" s="11"/>
      <c r="E146" s="11"/>
      <c r="F146" s="11"/>
      <c r="G146" s="11"/>
      <c r="H146" s="11"/>
      <c r="I146" s="12"/>
    </row>
    <row r="147" spans="2:10" x14ac:dyDescent="0.4">
      <c r="B147" s="5" t="s">
        <v>1</v>
      </c>
      <c r="C147" s="4" t="s">
        <v>269</v>
      </c>
      <c r="D147" s="5" t="s">
        <v>3</v>
      </c>
      <c r="E147" s="4" t="s">
        <v>229</v>
      </c>
      <c r="F147" s="5" t="s">
        <v>29</v>
      </c>
      <c r="G147" s="4" t="s">
        <v>38</v>
      </c>
      <c r="H147" s="5" t="s">
        <v>30</v>
      </c>
      <c r="I147" s="6">
        <v>45840</v>
      </c>
      <c r="J147" t="str">
        <f>_xlfn.CONCAT("DROP TABLE IF EXISTS ",C147,";")</f>
        <v>DROP TABLE IF EXISTS tb_token;</v>
      </c>
    </row>
    <row r="148" spans="2:10" x14ac:dyDescent="0.4">
      <c r="B148" s="5" t="s">
        <v>31</v>
      </c>
      <c r="C148" s="13" t="s">
        <v>230</v>
      </c>
      <c r="D148" s="13"/>
      <c r="E148" s="13"/>
      <c r="F148" s="13"/>
      <c r="G148" s="13"/>
      <c r="H148" s="13"/>
      <c r="I148" s="13"/>
      <c r="J148" t="str">
        <f>_xlfn.CONCAT("CREATE TABLE ",C147)</f>
        <v>CREATE TABLE tb_token</v>
      </c>
    </row>
    <row r="149" spans="2:10" x14ac:dyDescent="0.4">
      <c r="B149" s="5" t="s">
        <v>32</v>
      </c>
      <c r="C149" s="5" t="s">
        <v>1</v>
      </c>
      <c r="D149" s="5" t="s">
        <v>3</v>
      </c>
      <c r="E149" s="5" t="s">
        <v>33</v>
      </c>
      <c r="F149" s="5" t="s">
        <v>34</v>
      </c>
      <c r="G149" s="5" t="s">
        <v>35</v>
      </c>
      <c r="H149" s="5" t="s">
        <v>22</v>
      </c>
      <c r="I149" s="5" t="s">
        <v>36</v>
      </c>
      <c r="J149" t="str">
        <f>_xlfn.CONCAT("(")</f>
        <v>(</v>
      </c>
    </row>
    <row r="150" spans="2:10" x14ac:dyDescent="0.4">
      <c r="B150" s="4">
        <v>1</v>
      </c>
      <c r="C150" s="1" t="s">
        <v>160</v>
      </c>
      <c r="D150" s="1" t="s">
        <v>77</v>
      </c>
      <c r="E150" s="4" t="s">
        <v>46</v>
      </c>
      <c r="F150" s="4">
        <v>1</v>
      </c>
      <c r="G150" s="1" t="s">
        <v>40</v>
      </c>
      <c r="H150" s="1" t="s">
        <v>58</v>
      </c>
      <c r="I150" s="1" t="s">
        <v>77</v>
      </c>
      <c r="J150" t="str">
        <f t="shared" ref="J150:J158" si="11">_xlfn.CONCAT(IF(B150=1,"",", "),C150," ",E150," ",G150,_xlfn.IFS(H150="","",H150="AUTO_INCREMENT"," AUTO_INCREMENT PRIMARY KEY",TRUE,_xlfn.CONCAT(" DEFAULT"," ",H150)), " COMMENT '",I150,"'")</f>
        <v>USER_ID VARCHAR(20) NOT NULL COMMENT '사용자아이디'</v>
      </c>
    </row>
    <row r="151" spans="2:10" x14ac:dyDescent="0.4">
      <c r="B151" s="4">
        <v>2</v>
      </c>
      <c r="C151" s="1" t="s">
        <v>231</v>
      </c>
      <c r="D151" s="1" t="s">
        <v>229</v>
      </c>
      <c r="E151" s="4" t="s">
        <v>124</v>
      </c>
      <c r="F151" s="4"/>
      <c r="G151" s="1" t="s">
        <v>43</v>
      </c>
      <c r="H151" s="1"/>
      <c r="I151" s="1" t="s">
        <v>229</v>
      </c>
      <c r="J151" t="str">
        <f t="shared" si="11"/>
        <v>, TOKEN VARCHAR(3000) NULL COMMENT '토큰'</v>
      </c>
    </row>
    <row r="152" spans="2:10" x14ac:dyDescent="0.4">
      <c r="B152" s="4">
        <v>3</v>
      </c>
      <c r="C152" s="1" t="s">
        <v>233</v>
      </c>
      <c r="D152" s="1" t="s">
        <v>235</v>
      </c>
      <c r="E152" s="4" t="s">
        <v>21</v>
      </c>
      <c r="F152" s="4"/>
      <c r="G152" s="1" t="s">
        <v>43</v>
      </c>
      <c r="H152" s="1" t="s">
        <v>27</v>
      </c>
      <c r="I152" s="1" t="s">
        <v>235</v>
      </c>
      <c r="J152" t="str">
        <f t="shared" si="11"/>
        <v>, CREATE_DTTI TIMESTAMP NULL DEFAULT NOW() COMMENT '생성일시'</v>
      </c>
    </row>
    <row r="153" spans="2:10" x14ac:dyDescent="0.4">
      <c r="B153" s="4">
        <v>4</v>
      </c>
      <c r="C153" s="1" t="s">
        <v>234</v>
      </c>
      <c r="D153" s="1" t="s">
        <v>232</v>
      </c>
      <c r="E153" s="4" t="s">
        <v>49</v>
      </c>
      <c r="F153" s="4"/>
      <c r="G153" s="1" t="s">
        <v>43</v>
      </c>
      <c r="H153" s="7"/>
      <c r="I153" s="1" t="s">
        <v>232</v>
      </c>
      <c r="J153" t="str">
        <f t="shared" si="11"/>
        <v>, EXPIRY_DTTI TIMESTAMP NULL COMMENT '만료일시'</v>
      </c>
    </row>
    <row r="154" spans="2:10" x14ac:dyDescent="0.4">
      <c r="B154" s="4">
        <v>5</v>
      </c>
      <c r="C154" s="1" t="s">
        <v>236</v>
      </c>
      <c r="D154" s="1" t="s">
        <v>237</v>
      </c>
      <c r="E154" s="4" t="s">
        <v>124</v>
      </c>
      <c r="F154" s="4"/>
      <c r="G154" s="1" t="s">
        <v>43</v>
      </c>
      <c r="H154" s="1" t="s">
        <v>58</v>
      </c>
      <c r="I154" s="1" t="s">
        <v>237</v>
      </c>
      <c r="J154" t="str">
        <f t="shared" si="11"/>
        <v>, DEVICE_INFO VARCHAR(3000) NULL COMMENT '기기정보'</v>
      </c>
    </row>
    <row r="155" spans="2:10" x14ac:dyDescent="0.4">
      <c r="B155" s="4">
        <v>6</v>
      </c>
      <c r="C155" s="1" t="s">
        <v>195</v>
      </c>
      <c r="D155" s="1" t="s">
        <v>128</v>
      </c>
      <c r="E155" s="4" t="s">
        <v>46</v>
      </c>
      <c r="F155" s="4"/>
      <c r="G155" s="1" t="s">
        <v>40</v>
      </c>
      <c r="H155" s="1" t="s">
        <v>58</v>
      </c>
      <c r="I155" s="1" t="s">
        <v>197</v>
      </c>
      <c r="J155" t="str">
        <f t="shared" si="11"/>
        <v>, FST_REG_SEQ VARCHAR(20) NOT NULL COMMENT '최초등록자일련번호'</v>
      </c>
    </row>
    <row r="156" spans="2:10" x14ac:dyDescent="0.4">
      <c r="B156" s="4">
        <v>7</v>
      </c>
      <c r="C156" s="1" t="s">
        <v>238</v>
      </c>
      <c r="D156" s="1" t="s">
        <v>55</v>
      </c>
      <c r="E156" s="4" t="s">
        <v>49</v>
      </c>
      <c r="F156" s="4"/>
      <c r="G156" s="1" t="s">
        <v>40</v>
      </c>
      <c r="H156" s="1" t="s">
        <v>27</v>
      </c>
      <c r="I156" s="1" t="s">
        <v>55</v>
      </c>
      <c r="J156" t="str">
        <f t="shared" si="11"/>
        <v>, FST_REG_DTTI TIMESTAMP NOT NULL DEFAULT NOW() COMMENT '최초등록일시'</v>
      </c>
    </row>
    <row r="157" spans="2:10" x14ac:dyDescent="0.4">
      <c r="B157" s="4">
        <v>8</v>
      </c>
      <c r="C157" s="1" t="s">
        <v>241</v>
      </c>
      <c r="D157" s="1" t="s">
        <v>129</v>
      </c>
      <c r="E157" s="4" t="s">
        <v>46</v>
      </c>
      <c r="F157" s="4"/>
      <c r="G157" s="1" t="s">
        <v>40</v>
      </c>
      <c r="H157" s="1" t="s">
        <v>58</v>
      </c>
      <c r="I157" s="1" t="s">
        <v>198</v>
      </c>
      <c r="J157" t="str">
        <f t="shared" si="11"/>
        <v>, LST_UPD_SEQ VARCHAR(20) NOT NULL COMMENT '최종수정자일련번호'</v>
      </c>
    </row>
    <row r="158" spans="2:10" x14ac:dyDescent="0.4">
      <c r="B158" s="4">
        <v>9</v>
      </c>
      <c r="C158" s="1" t="s">
        <v>240</v>
      </c>
      <c r="D158" s="1" t="s">
        <v>56</v>
      </c>
      <c r="E158" s="4" t="s">
        <v>49</v>
      </c>
      <c r="F158" s="4"/>
      <c r="G158" s="1" t="s">
        <v>40</v>
      </c>
      <c r="H158" s="1" t="s">
        <v>59</v>
      </c>
      <c r="I158" s="1" t="s">
        <v>56</v>
      </c>
      <c r="J158" t="str">
        <f t="shared" si="11"/>
        <v>, LST_UPD_DTTI TIMESTAMP NOT NULL DEFAULT NOW() COMMENT '최종수정일시'</v>
      </c>
    </row>
    <row r="159" spans="2:10" x14ac:dyDescent="0.4">
      <c r="J159" t="str">
        <f>_xlfn.CONCAT(") COMMENT '",E147,"';")</f>
        <v>) COMMENT '토큰';</v>
      </c>
    </row>
    <row r="160" spans="2:10" x14ac:dyDescent="0.4">
      <c r="B160" s="5" t="s">
        <v>32</v>
      </c>
      <c r="C160" s="14" t="s">
        <v>44</v>
      </c>
      <c r="D160" s="14"/>
      <c r="E160" s="14"/>
      <c r="F160" s="14" t="s">
        <v>45</v>
      </c>
      <c r="G160" s="14"/>
      <c r="H160" s="14"/>
      <c r="I160" s="14"/>
      <c r="J160" t="str">
        <f>_xlfn.CONCAT("ALTER TABLE ",C147," ADD CONSTRAINT ",C161," PRIMARY KEY (")</f>
        <v>ALTER TABLE tb_token ADD CONSTRAINT PK_tb_token PRIMARY KEY (</v>
      </c>
    </row>
    <row r="161" spans="2:10" x14ac:dyDescent="0.4">
      <c r="B161" s="4">
        <v>1</v>
      </c>
      <c r="C161" s="15" t="str">
        <f>_xlfn.CONCAT("PK_",C147)</f>
        <v>PK_tb_token</v>
      </c>
      <c r="D161" s="15"/>
      <c r="E161" s="15"/>
      <c r="F161" s="15" t="str">
        <f>C150</f>
        <v>USER_ID</v>
      </c>
      <c r="G161" s="15"/>
      <c r="H161" s="15"/>
      <c r="I161" s="15"/>
      <c r="J161" t="str">
        <f>_xlfn.CONCAT(IF(B161=1,"",", "),F161)</f>
        <v>USER_ID</v>
      </c>
    </row>
    <row r="162" spans="2:10" x14ac:dyDescent="0.4">
      <c r="J162" t="str">
        <f>_xlfn.CONCAT(");")</f>
        <v>);</v>
      </c>
    </row>
  </sheetData>
  <mergeCells count="46">
    <mergeCell ref="B101:I101"/>
    <mergeCell ref="C103:I103"/>
    <mergeCell ref="B114:I114"/>
    <mergeCell ref="C116:I116"/>
    <mergeCell ref="C125:E125"/>
    <mergeCell ref="F125:I125"/>
    <mergeCell ref="C127:E127"/>
    <mergeCell ref="F127:I127"/>
    <mergeCell ref="C126:E126"/>
    <mergeCell ref="F126:I126"/>
    <mergeCell ref="C144:E144"/>
    <mergeCell ref="F144:I144"/>
    <mergeCell ref="B129:I129"/>
    <mergeCell ref="C131:I131"/>
    <mergeCell ref="C142:E142"/>
    <mergeCell ref="F142:I142"/>
    <mergeCell ref="C143:E143"/>
    <mergeCell ref="F143:I143"/>
    <mergeCell ref="B2:I2"/>
    <mergeCell ref="C4:I4"/>
    <mergeCell ref="B80:I80"/>
    <mergeCell ref="C82:I82"/>
    <mergeCell ref="B39:I39"/>
    <mergeCell ref="C41:I41"/>
    <mergeCell ref="C53:E53"/>
    <mergeCell ref="F53:I53"/>
    <mergeCell ref="C54:E54"/>
    <mergeCell ref="F54:I54"/>
    <mergeCell ref="B24:I24"/>
    <mergeCell ref="C26:I26"/>
    <mergeCell ref="C36:E36"/>
    <mergeCell ref="F36:I36"/>
    <mergeCell ref="C37:E37"/>
    <mergeCell ref="B68:I68"/>
    <mergeCell ref="C70:I70"/>
    <mergeCell ref="F37:I37"/>
    <mergeCell ref="C55:E55"/>
    <mergeCell ref="F55:I55"/>
    <mergeCell ref="B57:I57"/>
    <mergeCell ref="C59:I59"/>
    <mergeCell ref="B146:I146"/>
    <mergeCell ref="C148:I148"/>
    <mergeCell ref="C160:E160"/>
    <mergeCell ref="F160:I160"/>
    <mergeCell ref="C161:E161"/>
    <mergeCell ref="F161:I16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C4F1-2848-4D2F-8810-DC88E1558CBC}">
  <dimension ref="B2:J173"/>
  <sheetViews>
    <sheetView topLeftCell="A154" zoomScale="85" zoomScaleNormal="85" workbookViewId="0">
      <selection activeCell="B2" sqref="B2:I172"/>
    </sheetView>
  </sheetViews>
  <sheetFormatPr defaultRowHeight="17.399999999999999" x14ac:dyDescent="0.4"/>
  <cols>
    <col min="1" max="1" width="2.09765625" bestFit="1" customWidth="1"/>
    <col min="2" max="2" width="11.19921875" bestFit="1" customWidth="1"/>
    <col min="3" max="3" width="22.5" bestFit="1" customWidth="1"/>
    <col min="4" max="4" width="20.59765625" bestFit="1" customWidth="1"/>
    <col min="5" max="5" width="20.09765625" bestFit="1" customWidth="1"/>
    <col min="6" max="6" width="7" style="3" bestFit="1" customWidth="1"/>
    <col min="7" max="7" width="15" bestFit="1" customWidth="1"/>
    <col min="8" max="8" width="30.59765625" bestFit="1" customWidth="1"/>
    <col min="9" max="9" width="76.09765625" bestFit="1" customWidth="1"/>
    <col min="10" max="10" width="107.69921875" customWidth="1"/>
  </cols>
  <sheetData>
    <row r="2" spans="2:10" x14ac:dyDescent="0.4">
      <c r="B2" s="10" t="s">
        <v>28</v>
      </c>
      <c r="C2" s="11"/>
      <c r="D2" s="11"/>
      <c r="E2" s="11"/>
      <c r="F2" s="11"/>
      <c r="G2" s="11"/>
      <c r="H2" s="11"/>
      <c r="I2" s="12"/>
    </row>
    <row r="3" spans="2:10" x14ac:dyDescent="0.4">
      <c r="B3" s="5" t="s">
        <v>1</v>
      </c>
      <c r="C3" s="4" t="s">
        <v>270</v>
      </c>
      <c r="D3" s="5" t="s">
        <v>3</v>
      </c>
      <c r="E3" s="4" t="s">
        <v>183</v>
      </c>
      <c r="F3" s="5" t="s">
        <v>29</v>
      </c>
      <c r="G3" s="4" t="s">
        <v>38</v>
      </c>
      <c r="H3" s="5" t="s">
        <v>30</v>
      </c>
      <c r="I3" s="6">
        <v>45404</v>
      </c>
      <c r="J3" t="str">
        <f>_xlfn.CONCAT("DROP TABLE IF EXISTS ",C3,";")</f>
        <v>DROP TABLE IF EXISTS tb_item;</v>
      </c>
    </row>
    <row r="4" spans="2:10" x14ac:dyDescent="0.4">
      <c r="B4" s="5" t="s">
        <v>31</v>
      </c>
      <c r="C4" s="13" t="s">
        <v>208</v>
      </c>
      <c r="D4" s="13"/>
      <c r="E4" s="13"/>
      <c r="F4" s="13"/>
      <c r="G4" s="13"/>
      <c r="H4" s="13"/>
      <c r="I4" s="13"/>
      <c r="J4" t="str">
        <f>_xlfn.CONCAT("CREATE TABLE ",C3)</f>
        <v>CREATE TABLE tb_item</v>
      </c>
    </row>
    <row r="5" spans="2:10" x14ac:dyDescent="0.4">
      <c r="B5" s="5" t="s">
        <v>32</v>
      </c>
      <c r="C5" s="5" t="s">
        <v>1</v>
      </c>
      <c r="D5" s="5" t="s">
        <v>3</v>
      </c>
      <c r="E5" s="5" t="s">
        <v>33</v>
      </c>
      <c r="F5" s="5" t="s">
        <v>34</v>
      </c>
      <c r="G5" s="5" t="s">
        <v>35</v>
      </c>
      <c r="H5" s="5" t="s">
        <v>22</v>
      </c>
      <c r="I5" s="5" t="s">
        <v>36</v>
      </c>
      <c r="J5" t="str">
        <f>_xlfn.CONCAT("(")</f>
        <v>(</v>
      </c>
    </row>
    <row r="6" spans="2:10" x14ac:dyDescent="0.4">
      <c r="B6" s="4">
        <v>1</v>
      </c>
      <c r="C6" s="1" t="s">
        <v>184</v>
      </c>
      <c r="D6" s="1" t="s">
        <v>185</v>
      </c>
      <c r="E6" s="4" t="s">
        <v>173</v>
      </c>
      <c r="F6" s="4">
        <v>1</v>
      </c>
      <c r="G6" s="1" t="s">
        <v>40</v>
      </c>
      <c r="H6" s="1" t="s">
        <v>194</v>
      </c>
      <c r="I6" s="1" t="s">
        <v>185</v>
      </c>
      <c r="J6" t="str">
        <f>_xlfn.CONCAT(IF(B6=1,"",", "),C6," ",E6," ",G6,_xlfn.IFS(H6="","",H6="AUTO_INCREMENT"," AUTO_INCREMENT PRIMARY KEY",TRUE,_xlfn.CONCAT(" DEFAULT"," ",H6)), " COMMENT '",I6,"'")</f>
        <v>ITEM_SEQ INT NOT NULL AUTO_INCREMENT PRIMARY KEY COMMENT '상품일련번호'</v>
      </c>
    </row>
    <row r="7" spans="2:10" x14ac:dyDescent="0.4">
      <c r="B7" s="4">
        <v>2</v>
      </c>
      <c r="C7" s="1" t="s">
        <v>186</v>
      </c>
      <c r="D7" s="1" t="s">
        <v>174</v>
      </c>
      <c r="E7" s="4" t="s">
        <v>151</v>
      </c>
      <c r="F7" s="4"/>
      <c r="G7" s="1" t="s">
        <v>43</v>
      </c>
      <c r="H7" s="1"/>
      <c r="I7" s="1" t="s">
        <v>174</v>
      </c>
      <c r="J7" t="str">
        <f t="shared" ref="J7:J19" si="0">_xlfn.CONCAT(IF(B7=1,"",", "),C7," ",E7," ",G7,_xlfn.IFS(H7="","",H7="AUTO_INCREMENT"," AUTO_INCREMENT PRIMARY KEY",TRUE,_xlfn.CONCAT(" DEFAULT"," ",H7)), " COMMENT '",I7,"'")</f>
        <v>, ITEM_NM VARCHAR(300) NULL COMMENT '상품명'</v>
      </c>
    </row>
    <row r="8" spans="2:10" x14ac:dyDescent="0.4">
      <c r="B8" s="4">
        <v>3</v>
      </c>
      <c r="C8" s="1" t="s">
        <v>171</v>
      </c>
      <c r="D8" s="1" t="s">
        <v>172</v>
      </c>
      <c r="E8" s="4" t="s">
        <v>173</v>
      </c>
      <c r="F8" s="4"/>
      <c r="G8" s="1" t="s">
        <v>43</v>
      </c>
      <c r="H8" s="1"/>
      <c r="I8" s="1" t="s">
        <v>211</v>
      </c>
      <c r="J8" t="str">
        <f t="shared" si="0"/>
        <v>, PRICE INT NULL COMMENT '상품 1개 판매 가격'</v>
      </c>
    </row>
    <row r="9" spans="2:10" x14ac:dyDescent="0.4">
      <c r="B9" s="4">
        <v>4</v>
      </c>
      <c r="C9" s="1" t="s">
        <v>204</v>
      </c>
      <c r="D9" s="1" t="s">
        <v>203</v>
      </c>
      <c r="E9" s="4" t="s">
        <v>173</v>
      </c>
      <c r="F9" s="4"/>
      <c r="G9" s="1" t="s">
        <v>43</v>
      </c>
      <c r="H9" s="1"/>
      <c r="I9" s="1" t="s">
        <v>203</v>
      </c>
      <c r="J9" t="str">
        <f>_xlfn.CONCAT(IF(B9=1,"",", "),C9," ",E9," ",G9,_xlfn.IFS(H9="","",H9="AUTO_INCREMENT"," AUTO_INCREMENT PRIMARY KEY",TRUE,_xlfn.CONCAT(" DEFAULT"," ",H9)), " COMMENT '",I9,"'")</f>
        <v>, UNIT INT NULL COMMENT '판매단위'</v>
      </c>
    </row>
    <row r="10" spans="2:10" x14ac:dyDescent="0.4">
      <c r="B10" s="4">
        <v>5</v>
      </c>
      <c r="C10" s="1" t="s">
        <v>165</v>
      </c>
      <c r="D10" s="1" t="s">
        <v>180</v>
      </c>
      <c r="E10" s="4" t="s">
        <v>308</v>
      </c>
      <c r="F10" s="4"/>
      <c r="G10" s="1" t="s">
        <v>43</v>
      </c>
      <c r="H10" s="1" t="s">
        <v>58</v>
      </c>
      <c r="I10" s="1" t="s">
        <v>180</v>
      </c>
      <c r="J10" t="str">
        <f t="shared" si="0"/>
        <v>, RMRK TEXT NULL COMMENT '비고'</v>
      </c>
    </row>
    <row r="11" spans="2:10" x14ac:dyDescent="0.4">
      <c r="B11" s="4">
        <v>6</v>
      </c>
      <c r="C11" s="1" t="s">
        <v>187</v>
      </c>
      <c r="D11" s="1" t="s">
        <v>188</v>
      </c>
      <c r="E11" s="4" t="s">
        <v>105</v>
      </c>
      <c r="F11" s="4"/>
      <c r="G11" s="1"/>
      <c r="H11" s="1"/>
      <c r="I11" s="1" t="s">
        <v>189</v>
      </c>
      <c r="J11" t="str">
        <f t="shared" si="0"/>
        <v>, IMG VARCHAR(100)  COMMENT '이미지 파일명'</v>
      </c>
    </row>
    <row r="12" spans="2:10" x14ac:dyDescent="0.4">
      <c r="B12" s="4">
        <v>7</v>
      </c>
      <c r="C12" s="1" t="s">
        <v>199</v>
      </c>
      <c r="D12" s="1" t="s">
        <v>200</v>
      </c>
      <c r="E12" s="4" t="s">
        <v>24</v>
      </c>
      <c r="F12" s="4"/>
      <c r="G12" s="1" t="s">
        <v>43</v>
      </c>
      <c r="H12" s="7"/>
      <c r="I12" s="1" t="s">
        <v>200</v>
      </c>
      <c r="J12" t="str">
        <f>_xlfn.CONCAT(IF(B12=1,"",", "),C12," ",E12," ",G12,_xlfn.IFS(H12="","",H12="AUTO_INCREMENT"," AUTO_INCREMENT PRIMARY KEY",TRUE,_xlfn.CONCAT(" DEFAULT"," ",H12)), " COMMENT '",I12,"'")</f>
        <v>, ITEM_TYPE_CODE VARCHAR(10) NULL COMMENT '상품 분류코드'</v>
      </c>
    </row>
    <row r="13" spans="2:10" x14ac:dyDescent="0.4">
      <c r="B13" s="4">
        <v>8</v>
      </c>
      <c r="C13" s="1" t="s">
        <v>201</v>
      </c>
      <c r="D13" s="1" t="s">
        <v>202</v>
      </c>
      <c r="E13" s="4" t="s">
        <v>24</v>
      </c>
      <c r="F13" s="4"/>
      <c r="G13" s="1" t="s">
        <v>43</v>
      </c>
      <c r="H13" s="7"/>
      <c r="I13" s="1" t="s">
        <v>202</v>
      </c>
      <c r="J13" t="str">
        <f>_xlfn.CONCAT(IF(B13=1,"",", "),C13," ",E13," ",G13,_xlfn.IFS(H13="","",H13="AUTO_INCREMENT"," AUTO_INCREMENT PRIMARY KEY",TRUE,_xlfn.CONCAT(" DEFAULT"," ",H13)), " COMMENT '",I13,"'")</f>
        <v>, ITEM_DTL_TYPE_CODE VARCHAR(10) NULL COMMENT '상품 상세 분류코드'</v>
      </c>
    </row>
    <row r="14" spans="2:10" x14ac:dyDescent="0.4">
      <c r="B14" s="4">
        <v>9</v>
      </c>
      <c r="C14" s="1" t="s">
        <v>212</v>
      </c>
      <c r="D14" s="1" t="s">
        <v>213</v>
      </c>
      <c r="E14" s="4" t="s">
        <v>169</v>
      </c>
      <c r="F14" s="4"/>
      <c r="G14" s="1" t="s">
        <v>43</v>
      </c>
      <c r="H14" s="7" t="s">
        <v>214</v>
      </c>
      <c r="I14" s="1" t="s">
        <v>213</v>
      </c>
      <c r="J14" t="str">
        <f>_xlfn.CONCAT(IF(B14=1,"",", "),C14," ",E14," ",G14,_xlfn.IFS(H14="","",H14="AUTO_INCREMENT"," AUTO_INCREMENT PRIMARY KEY",TRUE,_xlfn.CONCAT(" DEFAULT"," ",H14)), " COMMENT '",I14,"'")</f>
        <v>, SOLD_OUT_YN VARCHAR(1) NULL DEFAULT 'N' COMMENT '품절여부'</v>
      </c>
    </row>
    <row r="15" spans="2:10" x14ac:dyDescent="0.4">
      <c r="B15" s="4">
        <v>10</v>
      </c>
      <c r="C15" s="1" t="s">
        <v>167</v>
      </c>
      <c r="D15" s="1" t="s">
        <v>168</v>
      </c>
      <c r="E15" s="4" t="s">
        <v>169</v>
      </c>
      <c r="F15" s="4"/>
      <c r="G15" s="1" t="s">
        <v>43</v>
      </c>
      <c r="H15" s="7" t="s">
        <v>170</v>
      </c>
      <c r="I15" s="1" t="s">
        <v>168</v>
      </c>
      <c r="J15" t="str">
        <f t="shared" si="0"/>
        <v>, USE_YN VARCHAR(1) NULL DEFAULT 'Y' COMMENT '사용여부'</v>
      </c>
    </row>
    <row r="16" spans="2:10" x14ac:dyDescent="0.4">
      <c r="B16" s="4">
        <v>11</v>
      </c>
      <c r="C16" s="1" t="s">
        <v>195</v>
      </c>
      <c r="D16" s="1" t="s">
        <v>197</v>
      </c>
      <c r="E16" s="4" t="s">
        <v>173</v>
      </c>
      <c r="F16" s="4"/>
      <c r="G16" s="1" t="s">
        <v>40</v>
      </c>
      <c r="H16" s="1" t="s">
        <v>58</v>
      </c>
      <c r="I16" s="1" t="s">
        <v>197</v>
      </c>
      <c r="J16" t="str">
        <f t="shared" si="0"/>
        <v>, FST_REG_SEQ INT NOT NULL COMMENT '최초등록자일련번호'</v>
      </c>
    </row>
    <row r="17" spans="2:10" x14ac:dyDescent="0.4">
      <c r="B17" s="4">
        <v>12</v>
      </c>
      <c r="C17" s="1" t="s">
        <v>50</v>
      </c>
      <c r="D17" s="1" t="s">
        <v>55</v>
      </c>
      <c r="E17" s="4" t="s">
        <v>49</v>
      </c>
      <c r="F17" s="4"/>
      <c r="G17" s="1" t="s">
        <v>40</v>
      </c>
      <c r="H17" s="1" t="s">
        <v>59</v>
      </c>
      <c r="I17" s="1" t="s">
        <v>55</v>
      </c>
      <c r="J17" t="str">
        <f t="shared" si="0"/>
        <v>, FST_REG_DTTI TIMESTAMP NOT NULL DEFAULT NOW() COMMENT '최초등록일시'</v>
      </c>
    </row>
    <row r="18" spans="2:10" x14ac:dyDescent="0.4">
      <c r="B18" s="4">
        <v>13</v>
      </c>
      <c r="C18" s="1" t="s">
        <v>241</v>
      </c>
      <c r="D18" s="1" t="s">
        <v>198</v>
      </c>
      <c r="E18" s="4" t="s">
        <v>173</v>
      </c>
      <c r="F18" s="4"/>
      <c r="G18" s="1" t="s">
        <v>40</v>
      </c>
      <c r="H18" s="1" t="s">
        <v>58</v>
      </c>
      <c r="I18" s="1" t="s">
        <v>198</v>
      </c>
      <c r="J18" t="str">
        <f t="shared" si="0"/>
        <v>, LST_UPD_SEQ INT NOT NULL COMMENT '최종수정자일련번호'</v>
      </c>
    </row>
    <row r="19" spans="2:10" x14ac:dyDescent="0.4">
      <c r="B19" s="4">
        <v>14</v>
      </c>
      <c r="C19" s="1" t="s">
        <v>239</v>
      </c>
      <c r="D19" s="1" t="s">
        <v>56</v>
      </c>
      <c r="E19" s="4" t="s">
        <v>49</v>
      </c>
      <c r="F19" s="4"/>
      <c r="G19" s="1" t="s">
        <v>40</v>
      </c>
      <c r="H19" s="1" t="s">
        <v>59</v>
      </c>
      <c r="I19" s="1" t="s">
        <v>56</v>
      </c>
      <c r="J19" t="str">
        <f t="shared" si="0"/>
        <v>, LST_UPD_DTTI TIMESTAMP NOT NULL DEFAULT NOW() COMMENT '최종수정일시'</v>
      </c>
    </row>
    <row r="20" spans="2:10" x14ac:dyDescent="0.4">
      <c r="J20" t="str">
        <f>_xlfn.CONCAT(") COMMENT '",E3,"';")</f>
        <v>) COMMENT '상품';</v>
      </c>
    </row>
    <row r="21" spans="2:10" x14ac:dyDescent="0.4">
      <c r="B21" s="10" t="s">
        <v>28</v>
      </c>
      <c r="C21" s="11"/>
      <c r="D21" s="11"/>
      <c r="E21" s="11"/>
      <c r="F21" s="11"/>
      <c r="G21" s="11"/>
      <c r="H21" s="11"/>
      <c r="I21" s="12"/>
    </row>
    <row r="22" spans="2:10" x14ac:dyDescent="0.4">
      <c r="B22" s="5" t="s">
        <v>1</v>
      </c>
      <c r="C22" s="4" t="s">
        <v>271</v>
      </c>
      <c r="D22" s="5" t="s">
        <v>3</v>
      </c>
      <c r="E22" s="4" t="s">
        <v>190</v>
      </c>
      <c r="F22" s="5" t="s">
        <v>29</v>
      </c>
      <c r="G22" s="4" t="s">
        <v>38</v>
      </c>
      <c r="H22" s="5" t="s">
        <v>30</v>
      </c>
      <c r="I22" s="6">
        <v>45404</v>
      </c>
      <c r="J22" t="str">
        <f>_xlfn.CONCAT("DROP TABLE IF EXISTS ",C22,";")</f>
        <v>DROP TABLE IF EXISTS tb_basket;</v>
      </c>
    </row>
    <row r="23" spans="2:10" x14ac:dyDescent="0.4">
      <c r="B23" s="5" t="s">
        <v>31</v>
      </c>
      <c r="C23" s="13" t="s">
        <v>207</v>
      </c>
      <c r="D23" s="13"/>
      <c r="E23" s="13"/>
      <c r="F23" s="13"/>
      <c r="G23" s="13"/>
      <c r="H23" s="13"/>
      <c r="I23" s="13"/>
      <c r="J23" t="str">
        <f>_xlfn.CONCAT("CREATE TABLE ",C22)</f>
        <v>CREATE TABLE tb_basket</v>
      </c>
    </row>
    <row r="24" spans="2:10" x14ac:dyDescent="0.4">
      <c r="B24" s="5" t="s">
        <v>32</v>
      </c>
      <c r="C24" s="5" t="s">
        <v>1</v>
      </c>
      <c r="D24" s="5" t="s">
        <v>3</v>
      </c>
      <c r="E24" s="5" t="s">
        <v>33</v>
      </c>
      <c r="F24" s="5" t="s">
        <v>34</v>
      </c>
      <c r="G24" s="5" t="s">
        <v>35</v>
      </c>
      <c r="H24" s="5" t="s">
        <v>22</v>
      </c>
      <c r="I24" s="5" t="s">
        <v>36</v>
      </c>
      <c r="J24" t="str">
        <f>_xlfn.CONCAT("(")</f>
        <v>(</v>
      </c>
    </row>
    <row r="25" spans="2:10" x14ac:dyDescent="0.4">
      <c r="B25" s="4">
        <v>1</v>
      </c>
      <c r="C25" s="1" t="s">
        <v>192</v>
      </c>
      <c r="D25" s="1" t="s">
        <v>193</v>
      </c>
      <c r="E25" s="4" t="s">
        <v>173</v>
      </c>
      <c r="F25" s="4">
        <v>1</v>
      </c>
      <c r="G25" s="1" t="s">
        <v>40</v>
      </c>
      <c r="H25" s="1"/>
      <c r="I25" s="1" t="s">
        <v>193</v>
      </c>
      <c r="J25" t="str">
        <f t="shared" ref="J25:J31" si="1">_xlfn.CONCAT(IF(B25=1,"",", "),C25," ",E25," ",G25,_xlfn.IFS(H25="","",H25="AUTO_INCREMENT"," AUTO_INCREMENT PRIMARY KEY",TRUE,_xlfn.CONCAT(" DEFAULT"," ",H25)), " COMMENT '",I25,"'")</f>
        <v>USER_SEQ INT NOT NULL COMMENT '사용자일련번호'</v>
      </c>
    </row>
    <row r="26" spans="2:10" x14ac:dyDescent="0.4">
      <c r="B26" s="4">
        <v>2</v>
      </c>
      <c r="C26" s="1" t="s">
        <v>184</v>
      </c>
      <c r="D26" s="1" t="s">
        <v>185</v>
      </c>
      <c r="E26" s="4" t="s">
        <v>173</v>
      </c>
      <c r="F26" s="4">
        <v>2</v>
      </c>
      <c r="G26" s="1" t="s">
        <v>40</v>
      </c>
      <c r="H26" s="1" t="s">
        <v>58</v>
      </c>
      <c r="I26" s="1" t="s">
        <v>185</v>
      </c>
      <c r="J26" t="str">
        <f t="shared" si="1"/>
        <v>, ITEM_SEQ INT NOT NULL COMMENT '상품일련번호'</v>
      </c>
    </row>
    <row r="27" spans="2:10" x14ac:dyDescent="0.4">
      <c r="B27" s="4">
        <v>3</v>
      </c>
      <c r="C27" s="1" t="s">
        <v>175</v>
      </c>
      <c r="D27" s="1" t="s">
        <v>191</v>
      </c>
      <c r="E27" s="4" t="s">
        <v>173</v>
      </c>
      <c r="F27" s="4"/>
      <c r="G27" s="1" t="s">
        <v>43</v>
      </c>
      <c r="H27" s="1" t="s">
        <v>58</v>
      </c>
      <c r="I27" s="1" t="s">
        <v>191</v>
      </c>
      <c r="J27" t="str">
        <f t="shared" si="1"/>
        <v>, CNT INT NULL COMMENT '개수'</v>
      </c>
    </row>
    <row r="28" spans="2:10" x14ac:dyDescent="0.4">
      <c r="B28" s="4">
        <v>4</v>
      </c>
      <c r="C28" s="1" t="s">
        <v>195</v>
      </c>
      <c r="D28" s="1" t="s">
        <v>215</v>
      </c>
      <c r="E28" s="4" t="s">
        <v>173</v>
      </c>
      <c r="F28" s="4"/>
      <c r="G28" s="1" t="s">
        <v>40</v>
      </c>
      <c r="H28" s="1" t="s">
        <v>58</v>
      </c>
      <c r="I28" s="1" t="s">
        <v>197</v>
      </c>
      <c r="J28" t="str">
        <f t="shared" si="1"/>
        <v>, FST_REG_SEQ INT NOT NULL COMMENT '최초등록자일련번호'</v>
      </c>
    </row>
    <row r="29" spans="2:10" x14ac:dyDescent="0.4">
      <c r="B29" s="4">
        <v>5</v>
      </c>
      <c r="C29" s="1" t="s">
        <v>50</v>
      </c>
      <c r="D29" s="1" t="s">
        <v>55</v>
      </c>
      <c r="E29" s="4" t="s">
        <v>49</v>
      </c>
      <c r="F29" s="4"/>
      <c r="G29" s="1" t="s">
        <v>40</v>
      </c>
      <c r="H29" s="1" t="s">
        <v>59</v>
      </c>
      <c r="I29" s="1" t="s">
        <v>55</v>
      </c>
      <c r="J29" t="str">
        <f t="shared" si="1"/>
        <v>, FST_REG_DTTI TIMESTAMP NOT NULL DEFAULT NOW() COMMENT '최초등록일시'</v>
      </c>
    </row>
    <row r="30" spans="2:10" x14ac:dyDescent="0.4">
      <c r="B30" s="4">
        <v>6</v>
      </c>
      <c r="C30" s="1" t="s">
        <v>241</v>
      </c>
      <c r="D30" s="1" t="s">
        <v>198</v>
      </c>
      <c r="E30" s="4" t="s">
        <v>173</v>
      </c>
      <c r="F30" s="4"/>
      <c r="G30" s="1" t="s">
        <v>40</v>
      </c>
      <c r="H30" s="1" t="s">
        <v>58</v>
      </c>
      <c r="I30" s="1" t="s">
        <v>198</v>
      </c>
      <c r="J30" t="str">
        <f t="shared" si="1"/>
        <v>, LST_UPD_SEQ INT NOT NULL COMMENT '최종수정자일련번호'</v>
      </c>
    </row>
    <row r="31" spans="2:10" x14ac:dyDescent="0.4">
      <c r="B31" s="4">
        <v>7</v>
      </c>
      <c r="C31" s="1" t="s">
        <v>239</v>
      </c>
      <c r="D31" s="1" t="s">
        <v>56</v>
      </c>
      <c r="E31" s="4" t="s">
        <v>49</v>
      </c>
      <c r="F31" s="4"/>
      <c r="G31" s="1" t="s">
        <v>40</v>
      </c>
      <c r="H31" s="1" t="s">
        <v>59</v>
      </c>
      <c r="I31" s="1" t="s">
        <v>56</v>
      </c>
      <c r="J31" t="str">
        <f t="shared" si="1"/>
        <v>, LST_UPD_DTTI TIMESTAMP NOT NULL DEFAULT NOW() COMMENT '최종수정일시'</v>
      </c>
    </row>
    <row r="32" spans="2:10" x14ac:dyDescent="0.4">
      <c r="J32" t="str">
        <f>_xlfn.CONCAT(") COMMENT '",E22,"';")</f>
        <v>) COMMENT '장바구니';</v>
      </c>
    </row>
    <row r="33" spans="2:10" x14ac:dyDescent="0.4">
      <c r="B33" s="5" t="s">
        <v>32</v>
      </c>
      <c r="C33" s="14" t="s">
        <v>44</v>
      </c>
      <c r="D33" s="14"/>
      <c r="E33" s="14"/>
      <c r="F33" s="14" t="s">
        <v>45</v>
      </c>
      <c r="G33" s="14"/>
      <c r="H33" s="14"/>
      <c r="I33" s="14"/>
      <c r="J33" t="str">
        <f>_xlfn.CONCAT("ALTER TABLE ",C22," ADD CONSTRAINT ",C34," PRIMARY KEY (")</f>
        <v>ALTER TABLE tb_basket ADD CONSTRAINT PK_tb_basket PRIMARY KEY (</v>
      </c>
    </row>
    <row r="34" spans="2:10" x14ac:dyDescent="0.4">
      <c r="B34" s="4">
        <v>1</v>
      </c>
      <c r="C34" s="15" t="str">
        <f>_xlfn.CONCAT("PK_",C22)</f>
        <v>PK_tb_basket</v>
      </c>
      <c r="D34" s="15"/>
      <c r="E34" s="15"/>
      <c r="F34" s="15" t="str">
        <f>C25</f>
        <v>USER_SEQ</v>
      </c>
      <c r="G34" s="15"/>
      <c r="H34" s="15"/>
      <c r="I34" s="15"/>
      <c r="J34" t="str">
        <f>_xlfn.CONCAT(IF(B34=1,"",", "),F34)</f>
        <v>USER_SEQ</v>
      </c>
    </row>
    <row r="35" spans="2:10" x14ac:dyDescent="0.4">
      <c r="B35" s="4">
        <v>2</v>
      </c>
      <c r="C35" s="15" t="str">
        <f>_xlfn.CONCAT("PK_",C22)</f>
        <v>PK_tb_basket</v>
      </c>
      <c r="D35" s="15"/>
      <c r="E35" s="15"/>
      <c r="F35" s="15" t="str">
        <f>C26</f>
        <v>ITEM_SEQ</v>
      </c>
      <c r="G35" s="15"/>
      <c r="H35" s="15"/>
      <c r="I35" s="15"/>
      <c r="J35" t="str">
        <f>_xlfn.CONCAT(IF(B35=1,"",", "),F35)</f>
        <v>, ITEM_SEQ</v>
      </c>
    </row>
    <row r="36" spans="2:10" x14ac:dyDescent="0.4">
      <c r="J36" t="str">
        <f>_xlfn.CONCAT(");")</f>
        <v>);</v>
      </c>
    </row>
    <row r="37" spans="2:10" x14ac:dyDescent="0.4">
      <c r="B37" s="10" t="s">
        <v>28</v>
      </c>
      <c r="C37" s="11"/>
      <c r="D37" s="11"/>
      <c r="E37" s="11"/>
      <c r="F37" s="11"/>
      <c r="G37" s="11"/>
      <c r="H37" s="11"/>
      <c r="I37" s="12"/>
    </row>
    <row r="38" spans="2:10" x14ac:dyDescent="0.4">
      <c r="B38" s="5" t="s">
        <v>1</v>
      </c>
      <c r="C38" s="4" t="s">
        <v>272</v>
      </c>
      <c r="D38" s="5" t="s">
        <v>3</v>
      </c>
      <c r="E38" s="4" t="s">
        <v>205</v>
      </c>
      <c r="F38" s="5" t="s">
        <v>29</v>
      </c>
      <c r="G38" s="4" t="s">
        <v>38</v>
      </c>
      <c r="H38" s="5" t="s">
        <v>30</v>
      </c>
      <c r="I38" s="6">
        <v>45404</v>
      </c>
      <c r="J38" t="str">
        <f>_xlfn.CONCAT("DROP TABLE IF EXISTS ",C38,";")</f>
        <v>DROP TABLE IF EXISTS tb_order;</v>
      </c>
    </row>
    <row r="39" spans="2:10" x14ac:dyDescent="0.4">
      <c r="B39" s="5" t="s">
        <v>31</v>
      </c>
      <c r="C39" s="13" t="s">
        <v>206</v>
      </c>
      <c r="D39" s="13"/>
      <c r="E39" s="13"/>
      <c r="F39" s="13"/>
      <c r="G39" s="13"/>
      <c r="H39" s="13"/>
      <c r="I39" s="13"/>
      <c r="J39" t="str">
        <f>_xlfn.CONCAT("CREATE TABLE ",C38)</f>
        <v>CREATE TABLE tb_order</v>
      </c>
    </row>
    <row r="40" spans="2:10" x14ac:dyDescent="0.4">
      <c r="B40" s="5" t="s">
        <v>32</v>
      </c>
      <c r="C40" s="5" t="s">
        <v>1</v>
      </c>
      <c r="D40" s="5" t="s">
        <v>3</v>
      </c>
      <c r="E40" s="5" t="s">
        <v>33</v>
      </c>
      <c r="F40" s="5" t="s">
        <v>34</v>
      </c>
      <c r="G40" s="5" t="s">
        <v>35</v>
      </c>
      <c r="H40" s="5" t="s">
        <v>22</v>
      </c>
      <c r="I40" s="5" t="s">
        <v>36</v>
      </c>
      <c r="J40" t="str">
        <f>_xlfn.CONCAT("(")</f>
        <v>(</v>
      </c>
    </row>
    <row r="41" spans="2:10" x14ac:dyDescent="0.4">
      <c r="B41" s="4">
        <v>1</v>
      </c>
      <c r="C41" s="1" t="s">
        <v>248</v>
      </c>
      <c r="D41" s="1" t="s">
        <v>249</v>
      </c>
      <c r="E41" s="4" t="s">
        <v>173</v>
      </c>
      <c r="F41" s="4">
        <v>1</v>
      </c>
      <c r="G41" s="1" t="s">
        <v>40</v>
      </c>
      <c r="H41" s="1" t="s">
        <v>194</v>
      </c>
      <c r="I41" s="1" t="s">
        <v>249</v>
      </c>
      <c r="J41" t="str">
        <f>_xlfn.CONCAT(IF(B41=1,"",", "),C41," ",E41," ",G41,_xlfn.IFS(H41="","",H41="AUTO_INCREMENT"," AUTO_INCREMENT PRIMARY KEY",TRUE,_xlfn.CONCAT(" DEFAULT"," ",H41)), " COMMENT '",I41,"'")</f>
        <v>ORDER_SEQ INT NOT NULL AUTO_INCREMENT PRIMARY KEY COMMENT '주문일련번호'</v>
      </c>
    </row>
    <row r="42" spans="2:10" x14ac:dyDescent="0.4">
      <c r="B42" s="4">
        <v>2</v>
      </c>
      <c r="C42" s="1" t="s">
        <v>192</v>
      </c>
      <c r="D42" s="1" t="s">
        <v>193</v>
      </c>
      <c r="E42" s="4" t="s">
        <v>173</v>
      </c>
      <c r="F42" s="4"/>
      <c r="G42" s="1" t="s">
        <v>43</v>
      </c>
      <c r="H42" s="1"/>
      <c r="I42" s="1" t="s">
        <v>193</v>
      </c>
      <c r="J42" t="str">
        <f t="shared" ref="J42:J52" si="2">_xlfn.CONCAT(IF(B42=1,"",", "),C42," ",E42," ",G42,_xlfn.IFS(H42="","",H42="AUTO_INCREMENT"," AUTO_INCREMENT PRIMARY KEY",TRUE,_xlfn.CONCAT(" DEFAULT"," ",H42)), " COMMENT '",I42,"'")</f>
        <v>, USER_SEQ INT NULL COMMENT '사용자일련번호'</v>
      </c>
    </row>
    <row r="43" spans="2:10" x14ac:dyDescent="0.4">
      <c r="B43" s="4">
        <v>3</v>
      </c>
      <c r="C43" s="1" t="s">
        <v>184</v>
      </c>
      <c r="D43" s="1" t="s">
        <v>185</v>
      </c>
      <c r="E43" s="4" t="s">
        <v>173</v>
      </c>
      <c r="F43" s="4"/>
      <c r="G43" s="1" t="s">
        <v>43</v>
      </c>
      <c r="H43" s="1" t="s">
        <v>58</v>
      </c>
      <c r="I43" s="1" t="s">
        <v>185</v>
      </c>
      <c r="J43" t="str">
        <f t="shared" si="2"/>
        <v>, ITEM_SEQ INT NULL COMMENT '상품일련번호'</v>
      </c>
    </row>
    <row r="44" spans="2:10" x14ac:dyDescent="0.4">
      <c r="B44" s="4">
        <v>4</v>
      </c>
      <c r="C44" s="1" t="s">
        <v>171</v>
      </c>
      <c r="D44" s="1" t="s">
        <v>172</v>
      </c>
      <c r="E44" s="4" t="s">
        <v>173</v>
      </c>
      <c r="F44" s="4"/>
      <c r="G44" s="1" t="s">
        <v>43</v>
      </c>
      <c r="H44" s="1"/>
      <c r="I44" s="1" t="s">
        <v>211</v>
      </c>
      <c r="J44" t="str">
        <f t="shared" si="2"/>
        <v>, PRICE INT NULL COMMENT '상품 1개 판매 가격'</v>
      </c>
    </row>
    <row r="45" spans="2:10" x14ac:dyDescent="0.4">
      <c r="B45" s="4">
        <v>5</v>
      </c>
      <c r="C45" s="1" t="s">
        <v>175</v>
      </c>
      <c r="D45" s="1" t="s">
        <v>191</v>
      </c>
      <c r="E45" s="4" t="s">
        <v>173</v>
      </c>
      <c r="F45" s="4"/>
      <c r="G45" s="1" t="s">
        <v>43</v>
      </c>
      <c r="H45" s="1" t="s">
        <v>58</v>
      </c>
      <c r="I45" s="1" t="s">
        <v>191</v>
      </c>
      <c r="J45" t="str">
        <f t="shared" si="2"/>
        <v>, CNT INT NULL COMMENT '개수'</v>
      </c>
    </row>
    <row r="46" spans="2:10" x14ac:dyDescent="0.4">
      <c r="B46" s="4">
        <v>6</v>
      </c>
      <c r="C46" s="1" t="s">
        <v>210</v>
      </c>
      <c r="D46" s="1" t="s">
        <v>209</v>
      </c>
      <c r="E46" s="4" t="s">
        <v>48</v>
      </c>
      <c r="F46" s="4"/>
      <c r="G46" s="1" t="s">
        <v>43</v>
      </c>
      <c r="H46" s="7" t="s">
        <v>176</v>
      </c>
      <c r="I46" s="1" t="s">
        <v>274</v>
      </c>
      <c r="J46" t="str">
        <f t="shared" si="2"/>
        <v>, ORDER_STATUS_CODE VARCHAR(2) NULL DEFAULT '01' COMMENT '주문상태코드(01:구매요청, 02:배송중, 03:미결제, 04:송금완료, 11:구매완료, 12:품절, 91:취소)'</v>
      </c>
    </row>
    <row r="47" spans="2:10" x14ac:dyDescent="0.4">
      <c r="B47" s="4">
        <v>7</v>
      </c>
      <c r="C47" s="1" t="s">
        <v>250</v>
      </c>
      <c r="D47" s="1" t="s">
        <v>251</v>
      </c>
      <c r="E47" s="4" t="s">
        <v>49</v>
      </c>
      <c r="F47" s="4"/>
      <c r="G47" s="1" t="s">
        <v>43</v>
      </c>
      <c r="H47" s="7"/>
      <c r="I47" s="1" t="s">
        <v>251</v>
      </c>
      <c r="J47" t="str">
        <f t="shared" si="2"/>
        <v>, ORDER_DTTI TIMESTAMP NULL COMMENT '주문일시'</v>
      </c>
    </row>
    <row r="48" spans="2:10" x14ac:dyDescent="0.4">
      <c r="B48" s="4">
        <v>8</v>
      </c>
      <c r="C48" s="1" t="s">
        <v>246</v>
      </c>
      <c r="D48" s="1" t="s">
        <v>247</v>
      </c>
      <c r="E48" s="4" t="s">
        <v>124</v>
      </c>
      <c r="F48" s="4"/>
      <c r="G48" s="1" t="s">
        <v>43</v>
      </c>
      <c r="H48" s="1" t="s">
        <v>58</v>
      </c>
      <c r="I48" s="1" t="s">
        <v>247</v>
      </c>
      <c r="J48" t="str">
        <f t="shared" si="2"/>
        <v>, ORDER_STATUS_DTL VARCHAR(3000) NULL COMMENT '주문상태상세'</v>
      </c>
    </row>
    <row r="49" spans="2:10" x14ac:dyDescent="0.4">
      <c r="B49" s="4">
        <v>9</v>
      </c>
      <c r="C49" s="1" t="s">
        <v>195</v>
      </c>
      <c r="D49" s="1" t="s">
        <v>215</v>
      </c>
      <c r="E49" s="4" t="s">
        <v>173</v>
      </c>
      <c r="F49" s="4"/>
      <c r="G49" s="1" t="s">
        <v>40</v>
      </c>
      <c r="H49" s="1" t="s">
        <v>58</v>
      </c>
      <c r="I49" s="1" t="s">
        <v>197</v>
      </c>
      <c r="J49" t="str">
        <f t="shared" si="2"/>
        <v>, FST_REG_SEQ INT NOT NULL COMMENT '최초등록자일련번호'</v>
      </c>
    </row>
    <row r="50" spans="2:10" x14ac:dyDescent="0.4">
      <c r="B50" s="4">
        <v>10</v>
      </c>
      <c r="C50" s="1" t="s">
        <v>50</v>
      </c>
      <c r="D50" s="1" t="s">
        <v>55</v>
      </c>
      <c r="E50" s="4" t="s">
        <v>49</v>
      </c>
      <c r="F50" s="4"/>
      <c r="G50" s="1" t="s">
        <v>40</v>
      </c>
      <c r="H50" s="1" t="s">
        <v>59</v>
      </c>
      <c r="I50" s="1" t="s">
        <v>55</v>
      </c>
      <c r="J50" t="str">
        <f t="shared" si="2"/>
        <v>, FST_REG_DTTI TIMESTAMP NOT NULL DEFAULT NOW() COMMENT '최초등록일시'</v>
      </c>
    </row>
    <row r="51" spans="2:10" x14ac:dyDescent="0.4">
      <c r="B51" s="4">
        <v>11</v>
      </c>
      <c r="C51" s="1" t="s">
        <v>241</v>
      </c>
      <c r="D51" s="1" t="s">
        <v>198</v>
      </c>
      <c r="E51" s="4" t="s">
        <v>173</v>
      </c>
      <c r="F51" s="4"/>
      <c r="G51" s="1" t="s">
        <v>40</v>
      </c>
      <c r="H51" s="1" t="s">
        <v>58</v>
      </c>
      <c r="I51" s="1" t="s">
        <v>198</v>
      </c>
      <c r="J51" t="str">
        <f t="shared" si="2"/>
        <v>, LST_UPD_SEQ INT NOT NULL COMMENT '최종수정자일련번호'</v>
      </c>
    </row>
    <row r="52" spans="2:10" x14ac:dyDescent="0.4">
      <c r="B52" s="4">
        <v>12</v>
      </c>
      <c r="C52" s="1" t="s">
        <v>239</v>
      </c>
      <c r="D52" s="1" t="s">
        <v>56</v>
      </c>
      <c r="E52" s="4" t="s">
        <v>49</v>
      </c>
      <c r="F52" s="4"/>
      <c r="G52" s="1" t="s">
        <v>40</v>
      </c>
      <c r="H52" s="1" t="s">
        <v>59</v>
      </c>
      <c r="I52" s="1" t="s">
        <v>56</v>
      </c>
      <c r="J52" t="str">
        <f t="shared" si="2"/>
        <v>, LST_UPD_DTTI TIMESTAMP NOT NULL DEFAULT NOW() COMMENT '최종수정일시'</v>
      </c>
    </row>
    <row r="53" spans="2:10" x14ac:dyDescent="0.4">
      <c r="J53" t="str">
        <f>_xlfn.CONCAT(") COMMENT '",E38,"';")</f>
        <v>) COMMENT '주문';</v>
      </c>
    </row>
    <row r="54" spans="2:10" x14ac:dyDescent="0.4">
      <c r="B54" s="10" t="s">
        <v>28</v>
      </c>
      <c r="C54" s="11"/>
      <c r="D54" s="11"/>
      <c r="E54" s="11"/>
      <c r="F54" s="11"/>
      <c r="G54" s="11"/>
      <c r="H54" s="11"/>
      <c r="I54" s="12"/>
    </row>
    <row r="55" spans="2:10" x14ac:dyDescent="0.4">
      <c r="B55" s="5" t="s">
        <v>1</v>
      </c>
      <c r="C55" s="4" t="s">
        <v>273</v>
      </c>
      <c r="D55" s="5" t="s">
        <v>3</v>
      </c>
      <c r="E55" s="4" t="s">
        <v>252</v>
      </c>
      <c r="F55" s="5" t="s">
        <v>29</v>
      </c>
      <c r="G55" s="4" t="s">
        <v>38</v>
      </c>
      <c r="H55" s="5" t="s">
        <v>30</v>
      </c>
      <c r="I55" s="6">
        <v>45404</v>
      </c>
      <c r="J55" t="str">
        <f>_xlfn.CONCAT("DROP TABLE IF EXISTS ",C55,";")</f>
        <v>DROP TABLE IF EXISTS tb_new_order;</v>
      </c>
    </row>
    <row r="56" spans="2:10" x14ac:dyDescent="0.4">
      <c r="B56" s="5" t="s">
        <v>31</v>
      </c>
      <c r="C56" s="13" t="s">
        <v>253</v>
      </c>
      <c r="D56" s="13"/>
      <c r="E56" s="13"/>
      <c r="F56" s="13"/>
      <c r="G56" s="13"/>
      <c r="H56" s="13"/>
      <c r="I56" s="13"/>
      <c r="J56" t="str">
        <f>_xlfn.CONCAT("CREATE TABLE ",C55)</f>
        <v>CREATE TABLE tb_new_order</v>
      </c>
    </row>
    <row r="57" spans="2:10" x14ac:dyDescent="0.4">
      <c r="B57" s="5" t="s">
        <v>32</v>
      </c>
      <c r="C57" s="5" t="s">
        <v>1</v>
      </c>
      <c r="D57" s="5" t="s">
        <v>3</v>
      </c>
      <c r="E57" s="5" t="s">
        <v>33</v>
      </c>
      <c r="F57" s="5" t="s">
        <v>34</v>
      </c>
      <c r="G57" s="5" t="s">
        <v>35</v>
      </c>
      <c r="H57" s="5" t="s">
        <v>22</v>
      </c>
      <c r="I57" s="5" t="s">
        <v>36</v>
      </c>
      <c r="J57" t="str">
        <f>_xlfn.CONCAT("(")</f>
        <v>(</v>
      </c>
    </row>
    <row r="58" spans="2:10" x14ac:dyDescent="0.4">
      <c r="B58" s="4">
        <v>1</v>
      </c>
      <c r="C58" s="1" t="s">
        <v>254</v>
      </c>
      <c r="D58" s="1" t="s">
        <v>255</v>
      </c>
      <c r="E58" s="4" t="s">
        <v>173</v>
      </c>
      <c r="F58" s="4">
        <v>1</v>
      </c>
      <c r="G58" s="1" t="s">
        <v>40</v>
      </c>
      <c r="H58" s="1" t="s">
        <v>194</v>
      </c>
      <c r="I58" s="1" t="s">
        <v>255</v>
      </c>
      <c r="J58" t="str">
        <f>_xlfn.CONCAT(IF(B58=1,"",", "),C58," ",E58," ",G58,_xlfn.IFS(H58="","",H58="AUTO_INCREMENT"," AUTO_INCREMENT PRIMARY KEY",TRUE,_xlfn.CONCAT(" DEFAULT"," ",H58)), " COMMENT '",I58,"'")</f>
        <v>NEW_ORDER_SEQ INT NOT NULL AUTO_INCREMENT PRIMARY KEY COMMENT '신규상품주문일련번호'</v>
      </c>
    </row>
    <row r="59" spans="2:10" x14ac:dyDescent="0.4">
      <c r="B59" s="4">
        <v>2</v>
      </c>
      <c r="C59" s="1" t="s">
        <v>192</v>
      </c>
      <c r="D59" s="1" t="s">
        <v>193</v>
      </c>
      <c r="E59" s="4" t="s">
        <v>173</v>
      </c>
      <c r="F59" s="4"/>
      <c r="G59" s="1" t="s">
        <v>43</v>
      </c>
      <c r="H59" s="1"/>
      <c r="I59" s="1" t="s">
        <v>193</v>
      </c>
      <c r="J59" t="str">
        <f t="shared" ref="J59:J71" si="3">_xlfn.CONCAT(IF(B59=1,"",", "),C59," ",E59," ",G59,_xlfn.IFS(H59="","",H59="AUTO_INCREMENT"," AUTO_INCREMENT PRIMARY KEY",TRUE,_xlfn.CONCAT(" DEFAULT"," ",H59)), " COMMENT '",I59,"'")</f>
        <v>, USER_SEQ INT NULL COMMENT '사용자일련번호'</v>
      </c>
    </row>
    <row r="60" spans="2:10" x14ac:dyDescent="0.4">
      <c r="B60" s="4">
        <v>3</v>
      </c>
      <c r="C60" s="1" t="s">
        <v>186</v>
      </c>
      <c r="D60" s="1" t="s">
        <v>174</v>
      </c>
      <c r="E60" s="4" t="s">
        <v>151</v>
      </c>
      <c r="F60" s="4"/>
      <c r="G60" s="1" t="s">
        <v>43</v>
      </c>
      <c r="H60" s="1"/>
      <c r="I60" s="1" t="s">
        <v>174</v>
      </c>
      <c r="J60" t="str">
        <f t="shared" si="3"/>
        <v>, ITEM_NM VARCHAR(300) NULL COMMENT '상품명'</v>
      </c>
    </row>
    <row r="61" spans="2:10" x14ac:dyDescent="0.4">
      <c r="B61" s="4">
        <v>4</v>
      </c>
      <c r="C61" s="1" t="s">
        <v>187</v>
      </c>
      <c r="D61" s="1" t="s">
        <v>188</v>
      </c>
      <c r="E61" s="4" t="s">
        <v>105</v>
      </c>
      <c r="F61" s="4"/>
      <c r="G61" s="1"/>
      <c r="H61" s="1"/>
      <c r="I61" s="1" t="s">
        <v>189</v>
      </c>
      <c r="J61" t="str">
        <f t="shared" si="3"/>
        <v>, IMG VARCHAR(100)  COMMENT '이미지 파일명'</v>
      </c>
    </row>
    <row r="62" spans="2:10" x14ac:dyDescent="0.4">
      <c r="B62" s="4">
        <v>5</v>
      </c>
      <c r="C62" s="1" t="s">
        <v>171</v>
      </c>
      <c r="D62" s="1" t="s">
        <v>172</v>
      </c>
      <c r="E62" s="4" t="s">
        <v>173</v>
      </c>
      <c r="F62" s="4"/>
      <c r="G62" s="1" t="s">
        <v>43</v>
      </c>
      <c r="H62" s="1"/>
      <c r="I62" s="1" t="s">
        <v>211</v>
      </c>
      <c r="J62" t="str">
        <f t="shared" si="3"/>
        <v>, PRICE INT NULL COMMENT '상품 1개 판매 가격'</v>
      </c>
    </row>
    <row r="63" spans="2:10" x14ac:dyDescent="0.4">
      <c r="B63" s="4">
        <v>6</v>
      </c>
      <c r="C63" s="1" t="s">
        <v>175</v>
      </c>
      <c r="D63" s="1" t="s">
        <v>191</v>
      </c>
      <c r="E63" s="4" t="s">
        <v>173</v>
      </c>
      <c r="F63" s="4"/>
      <c r="G63" s="1" t="s">
        <v>43</v>
      </c>
      <c r="H63" s="1" t="s">
        <v>58</v>
      </c>
      <c r="I63" s="1" t="s">
        <v>191</v>
      </c>
      <c r="J63" t="str">
        <f t="shared" si="3"/>
        <v>, CNT INT NULL COMMENT '개수'</v>
      </c>
    </row>
    <row r="64" spans="2:10" x14ac:dyDescent="0.4">
      <c r="B64" s="4">
        <v>7</v>
      </c>
      <c r="C64" s="1" t="s">
        <v>256</v>
      </c>
      <c r="D64" s="1" t="s">
        <v>257</v>
      </c>
      <c r="E64" s="4" t="s">
        <v>308</v>
      </c>
      <c r="F64" s="4"/>
      <c r="G64" s="1" t="s">
        <v>43</v>
      </c>
      <c r="H64" s="1"/>
      <c r="I64" s="1" t="s">
        <v>258</v>
      </c>
      <c r="J64" t="str">
        <f>_xlfn.CONCAT(IF(B64=1,"",", "),C64," ",E64," ",G64,_xlfn.IFS(H64="","",H64="AUTO_INCREMENT"," AUTO_INCREMENT PRIMARY KEY",TRUE,_xlfn.CONCAT(" DEFAULT"," ",H64)), " COMMENT '",I64,"'")</f>
        <v>, NEW_ORDER_DTL TEXT NULL COMMENT '신규상품주문상세 설명'</v>
      </c>
    </row>
    <row r="65" spans="2:10" x14ac:dyDescent="0.4">
      <c r="B65" s="4">
        <v>8</v>
      </c>
      <c r="C65" s="1" t="s">
        <v>210</v>
      </c>
      <c r="D65" s="1" t="s">
        <v>209</v>
      </c>
      <c r="E65" s="4" t="s">
        <v>48</v>
      </c>
      <c r="F65" s="4"/>
      <c r="G65" s="1" t="s">
        <v>43</v>
      </c>
      <c r="H65" s="7" t="s">
        <v>176</v>
      </c>
      <c r="I65" s="1" t="s">
        <v>274</v>
      </c>
      <c r="J65" t="str">
        <f t="shared" si="3"/>
        <v>, ORDER_STATUS_CODE VARCHAR(2) NULL DEFAULT '01' COMMENT '주문상태코드(01:구매요청, 02:배송중, 03:미결제, 04:송금완료, 11:구매완료, 12:품절, 91:취소)'</v>
      </c>
    </row>
    <row r="66" spans="2:10" x14ac:dyDescent="0.4">
      <c r="B66" s="4">
        <v>9</v>
      </c>
      <c r="C66" s="1" t="s">
        <v>250</v>
      </c>
      <c r="D66" s="1" t="s">
        <v>251</v>
      </c>
      <c r="E66" s="4" t="s">
        <v>49</v>
      </c>
      <c r="F66" s="4"/>
      <c r="G66" s="1" t="s">
        <v>43</v>
      </c>
      <c r="H66" s="7"/>
      <c r="I66" s="1" t="s">
        <v>251</v>
      </c>
      <c r="J66" t="str">
        <f t="shared" si="3"/>
        <v>, ORDER_DTTI TIMESTAMP NULL COMMENT '주문일시'</v>
      </c>
    </row>
    <row r="67" spans="2:10" x14ac:dyDescent="0.4">
      <c r="B67" s="4">
        <v>10</v>
      </c>
      <c r="C67" s="1" t="s">
        <v>246</v>
      </c>
      <c r="D67" s="1" t="s">
        <v>247</v>
      </c>
      <c r="E67" s="4" t="s">
        <v>286</v>
      </c>
      <c r="F67" s="4"/>
      <c r="G67" s="1" t="s">
        <v>43</v>
      </c>
      <c r="H67" s="1" t="s">
        <v>58</v>
      </c>
      <c r="I67" s="1" t="s">
        <v>247</v>
      </c>
      <c r="J67" t="str">
        <f t="shared" si="3"/>
        <v>, ORDER_STATUS_DTL VARCHAR(1000) NULL COMMENT '주문상태상세'</v>
      </c>
    </row>
    <row r="68" spans="2:10" x14ac:dyDescent="0.4">
      <c r="B68" s="4">
        <v>11</v>
      </c>
      <c r="C68" s="1" t="s">
        <v>195</v>
      </c>
      <c r="D68" s="1" t="s">
        <v>215</v>
      </c>
      <c r="E68" s="4" t="s">
        <v>173</v>
      </c>
      <c r="F68" s="4"/>
      <c r="G68" s="1" t="s">
        <v>40</v>
      </c>
      <c r="H68" s="1" t="s">
        <v>58</v>
      </c>
      <c r="I68" s="1" t="s">
        <v>197</v>
      </c>
      <c r="J68" t="str">
        <f t="shared" si="3"/>
        <v>, FST_REG_SEQ INT NOT NULL COMMENT '최초등록자일련번호'</v>
      </c>
    </row>
    <row r="69" spans="2:10" x14ac:dyDescent="0.4">
      <c r="B69" s="4">
        <v>12</v>
      </c>
      <c r="C69" s="1" t="s">
        <v>50</v>
      </c>
      <c r="D69" s="1" t="s">
        <v>55</v>
      </c>
      <c r="E69" s="4" t="s">
        <v>49</v>
      </c>
      <c r="F69" s="4"/>
      <c r="G69" s="1" t="s">
        <v>40</v>
      </c>
      <c r="H69" s="1" t="s">
        <v>59</v>
      </c>
      <c r="I69" s="1" t="s">
        <v>55</v>
      </c>
      <c r="J69" t="str">
        <f t="shared" si="3"/>
        <v>, FST_REG_DTTI TIMESTAMP NOT NULL DEFAULT NOW() COMMENT '최초등록일시'</v>
      </c>
    </row>
    <row r="70" spans="2:10" x14ac:dyDescent="0.4">
      <c r="B70" s="4">
        <v>13</v>
      </c>
      <c r="C70" s="1" t="s">
        <v>241</v>
      </c>
      <c r="D70" s="1" t="s">
        <v>198</v>
      </c>
      <c r="E70" s="4" t="s">
        <v>173</v>
      </c>
      <c r="F70" s="4"/>
      <c r="G70" s="1" t="s">
        <v>40</v>
      </c>
      <c r="H70" s="1" t="s">
        <v>58</v>
      </c>
      <c r="I70" s="1" t="s">
        <v>198</v>
      </c>
      <c r="J70" t="str">
        <f t="shared" si="3"/>
        <v>, LST_UPD_SEQ INT NOT NULL COMMENT '최종수정자일련번호'</v>
      </c>
    </row>
    <row r="71" spans="2:10" x14ac:dyDescent="0.4">
      <c r="B71" s="4">
        <v>14</v>
      </c>
      <c r="C71" s="1" t="s">
        <v>239</v>
      </c>
      <c r="D71" s="1" t="s">
        <v>56</v>
      </c>
      <c r="E71" s="4" t="s">
        <v>49</v>
      </c>
      <c r="F71" s="4"/>
      <c r="G71" s="1" t="s">
        <v>40</v>
      </c>
      <c r="H71" s="1" t="s">
        <v>59</v>
      </c>
      <c r="I71" s="1" t="s">
        <v>56</v>
      </c>
      <c r="J71" t="str">
        <f t="shared" si="3"/>
        <v>, LST_UPD_DTTI TIMESTAMP NOT NULL DEFAULT NOW() COMMENT '최종수정일시'</v>
      </c>
    </row>
    <row r="72" spans="2:10" x14ac:dyDescent="0.4">
      <c r="J72" t="str">
        <f>_xlfn.CONCAT(") COMMENT '",E55,"';")</f>
        <v>) COMMENT '신규상품주문';</v>
      </c>
    </row>
    <row r="73" spans="2:10" x14ac:dyDescent="0.4">
      <c r="B73" s="10" t="s">
        <v>28</v>
      </c>
      <c r="C73" s="11"/>
      <c r="D73" s="11"/>
      <c r="E73" s="11"/>
      <c r="F73" s="11"/>
      <c r="G73" s="11"/>
      <c r="H73" s="11"/>
      <c r="I73" s="12"/>
    </row>
    <row r="74" spans="2:10" x14ac:dyDescent="0.4">
      <c r="B74" s="5" t="s">
        <v>1</v>
      </c>
      <c r="C74" s="4" t="s">
        <v>288</v>
      </c>
      <c r="D74" s="5" t="s">
        <v>3</v>
      </c>
      <c r="E74" s="4" t="s">
        <v>289</v>
      </c>
      <c r="F74" s="5" t="s">
        <v>29</v>
      </c>
      <c r="G74" s="4" t="s">
        <v>38</v>
      </c>
      <c r="H74" s="5" t="s">
        <v>30</v>
      </c>
      <c r="I74" s="6">
        <v>46022</v>
      </c>
      <c r="J74" t="str">
        <f>_xlfn.CONCAT("DROP TABLE IF EXISTS ",C74,";")</f>
        <v>DROP TABLE IF EXISTS tb_ai_session;</v>
      </c>
    </row>
    <row r="75" spans="2:10" x14ac:dyDescent="0.4">
      <c r="B75" s="5" t="s">
        <v>31</v>
      </c>
      <c r="C75" s="13" t="s">
        <v>328</v>
      </c>
      <c r="D75" s="13"/>
      <c r="E75" s="13"/>
      <c r="F75" s="13"/>
      <c r="G75" s="13"/>
      <c r="H75" s="13"/>
      <c r="I75" s="13"/>
      <c r="J75" t="str">
        <f>_xlfn.CONCAT("CREATE TABLE ",C74)</f>
        <v>CREATE TABLE tb_ai_session</v>
      </c>
    </row>
    <row r="76" spans="2:10" x14ac:dyDescent="0.4">
      <c r="B76" s="5" t="s">
        <v>32</v>
      </c>
      <c r="C76" s="5" t="s">
        <v>1</v>
      </c>
      <c r="D76" s="5" t="s">
        <v>3</v>
      </c>
      <c r="E76" s="5" t="s">
        <v>33</v>
      </c>
      <c r="F76" s="5" t="s">
        <v>34</v>
      </c>
      <c r="G76" s="5" t="s">
        <v>35</v>
      </c>
      <c r="H76" s="5" t="s">
        <v>22</v>
      </c>
      <c r="I76" s="5" t="s">
        <v>36</v>
      </c>
      <c r="J76" t="str">
        <f>_xlfn.CONCAT("(")</f>
        <v>(</v>
      </c>
    </row>
    <row r="77" spans="2:10" x14ac:dyDescent="0.4">
      <c r="B77" s="4">
        <v>1</v>
      </c>
      <c r="C77" s="1" t="s">
        <v>290</v>
      </c>
      <c r="D77" s="1" t="s">
        <v>291</v>
      </c>
      <c r="E77" s="4" t="s">
        <v>283</v>
      </c>
      <c r="F77" s="4">
        <v>1</v>
      </c>
      <c r="G77" s="1" t="s">
        <v>40</v>
      </c>
      <c r="H77" s="1" t="s">
        <v>194</v>
      </c>
      <c r="I77" s="1" t="s">
        <v>291</v>
      </c>
      <c r="J77" t="str">
        <f>_xlfn.CONCAT(IF(B77=1,"",", "),C77," ",E77," ",G77,_xlfn.IFS(H77="","",H77="AUTO_INCREMENT"," AUTO_INCREMENT PRIMARY KEY",TRUE,_xlfn.CONCAT(" DEFAULT"," ",H77)), " COMMENT '",I77,"'")</f>
        <v>SESSION_ID BIGINT NOT NULL AUTO_INCREMENT PRIMARY KEY COMMENT '세션ID'</v>
      </c>
    </row>
    <row r="78" spans="2:10" x14ac:dyDescent="0.4">
      <c r="B78" s="4">
        <v>2</v>
      </c>
      <c r="C78" s="1" t="s">
        <v>192</v>
      </c>
      <c r="D78" s="1" t="s">
        <v>193</v>
      </c>
      <c r="E78" s="4" t="s">
        <v>173</v>
      </c>
      <c r="F78" s="4"/>
      <c r="G78" s="1" t="s">
        <v>43</v>
      </c>
      <c r="H78" s="1"/>
      <c r="I78" s="1" t="s">
        <v>193</v>
      </c>
      <c r="J78" t="str">
        <f t="shared" ref="J78:J80" si="4">_xlfn.CONCAT(IF(B78=1,"",", "),C78," ",E78," ",G78,_xlfn.IFS(H78="","",H78="AUTO_INCREMENT"," AUTO_INCREMENT PRIMARY KEY",TRUE,_xlfn.CONCAT(" DEFAULT"," ",H78)), " COMMENT '",I78,"'")</f>
        <v>, USER_SEQ INT NULL COMMENT '사용자일련번호'</v>
      </c>
    </row>
    <row r="79" spans="2:10" x14ac:dyDescent="0.4">
      <c r="B79" s="4">
        <v>3</v>
      </c>
      <c r="C79" s="1" t="s">
        <v>292</v>
      </c>
      <c r="D79" s="1" t="s">
        <v>293</v>
      </c>
      <c r="E79" s="4" t="s">
        <v>295</v>
      </c>
      <c r="F79" s="4"/>
      <c r="G79" s="1" t="s">
        <v>43</v>
      </c>
      <c r="H79" s="1"/>
      <c r="I79" s="1" t="s">
        <v>294</v>
      </c>
      <c r="J79" t="str">
        <f t="shared" si="4"/>
        <v>, TITLE VARCHAR(200) NULL COMMENT '제목(첫 질문 요약)'</v>
      </c>
    </row>
    <row r="80" spans="2:10" x14ac:dyDescent="0.4">
      <c r="B80" s="4">
        <v>4</v>
      </c>
      <c r="C80" s="1" t="s">
        <v>323</v>
      </c>
      <c r="D80" s="1" t="s">
        <v>297</v>
      </c>
      <c r="E80" s="4" t="s">
        <v>296</v>
      </c>
      <c r="F80" s="4"/>
      <c r="G80" s="1" t="s">
        <v>43</v>
      </c>
      <c r="H80" s="1"/>
      <c r="I80" s="1" t="s">
        <v>297</v>
      </c>
      <c r="J80" t="str">
        <f t="shared" si="4"/>
        <v>, LLM_MODEL VARCHAR(50) NULL COMMENT 'LLM모델'</v>
      </c>
    </row>
    <row r="81" spans="2:10" x14ac:dyDescent="0.4">
      <c r="B81" s="4">
        <v>4</v>
      </c>
      <c r="C81" s="1" t="s">
        <v>324</v>
      </c>
      <c r="D81" s="1" t="s">
        <v>299</v>
      </c>
      <c r="E81" s="4" t="s">
        <v>298</v>
      </c>
      <c r="F81" s="4"/>
      <c r="G81" s="1" t="s">
        <v>43</v>
      </c>
      <c r="H81" s="1"/>
      <c r="I81" s="1" t="s">
        <v>299</v>
      </c>
      <c r="J81" t="str">
        <f t="shared" ref="J81" si="5">_xlfn.CONCAT(IF(B81=1,"",", "),C81," ",E81," ",G81,_xlfn.IFS(H81="","",H81="AUTO_INCREMENT"," AUTO_INCREMENT PRIMARY KEY",TRUE,_xlfn.CONCAT(" DEFAULT"," ",H81)), " COMMENT '",I81,"'")</f>
        <v>, PROMPT_VERSION CHAR(64) NULL COMMENT '프롬프트 버전'</v>
      </c>
    </row>
    <row r="82" spans="2:10" x14ac:dyDescent="0.4">
      <c r="B82" s="4">
        <v>5</v>
      </c>
      <c r="C82" s="1" t="s">
        <v>195</v>
      </c>
      <c r="D82" s="1" t="s">
        <v>215</v>
      </c>
      <c r="E82" s="4" t="s">
        <v>173</v>
      </c>
      <c r="F82" s="4"/>
      <c r="G82" s="1" t="s">
        <v>40</v>
      </c>
      <c r="H82" s="1" t="s">
        <v>58</v>
      </c>
      <c r="I82" s="1" t="s">
        <v>197</v>
      </c>
      <c r="J82" t="str">
        <f t="shared" ref="J82:J85" si="6">_xlfn.CONCAT(IF(B82=1,"",", "),C82," ",E82," ",G82,_xlfn.IFS(H82="","",H82="AUTO_INCREMENT"," AUTO_INCREMENT PRIMARY KEY",TRUE,_xlfn.CONCAT(" DEFAULT"," ",H82)), " COMMENT '",I82,"'")</f>
        <v>, FST_REG_SEQ INT NOT NULL COMMENT '최초등록자일련번호'</v>
      </c>
    </row>
    <row r="83" spans="2:10" x14ac:dyDescent="0.4">
      <c r="B83" s="4">
        <v>6</v>
      </c>
      <c r="C83" s="1" t="s">
        <v>50</v>
      </c>
      <c r="D83" s="1" t="s">
        <v>55</v>
      </c>
      <c r="E83" s="4" t="s">
        <v>49</v>
      </c>
      <c r="F83" s="4"/>
      <c r="G83" s="1" t="s">
        <v>40</v>
      </c>
      <c r="H83" s="1" t="s">
        <v>59</v>
      </c>
      <c r="I83" s="1" t="s">
        <v>55</v>
      </c>
      <c r="J83" t="str">
        <f t="shared" si="6"/>
        <v>, FST_REG_DTTI TIMESTAMP NOT NULL DEFAULT NOW() COMMENT '최초등록일시'</v>
      </c>
    </row>
    <row r="84" spans="2:10" x14ac:dyDescent="0.4">
      <c r="B84" s="4">
        <v>7</v>
      </c>
      <c r="C84" s="1" t="s">
        <v>241</v>
      </c>
      <c r="D84" s="1" t="s">
        <v>198</v>
      </c>
      <c r="E84" s="4" t="s">
        <v>173</v>
      </c>
      <c r="F84" s="4"/>
      <c r="G84" s="1" t="s">
        <v>40</v>
      </c>
      <c r="H84" s="1" t="s">
        <v>58</v>
      </c>
      <c r="I84" s="1" t="s">
        <v>198</v>
      </c>
      <c r="J84" t="str">
        <f t="shared" si="6"/>
        <v>, LST_UPD_SEQ INT NOT NULL COMMENT '최종수정자일련번호'</v>
      </c>
    </row>
    <row r="85" spans="2:10" x14ac:dyDescent="0.4">
      <c r="B85" s="4">
        <v>8</v>
      </c>
      <c r="C85" s="1" t="s">
        <v>239</v>
      </c>
      <c r="D85" s="1" t="s">
        <v>56</v>
      </c>
      <c r="E85" s="4" t="s">
        <v>49</v>
      </c>
      <c r="F85" s="4"/>
      <c r="G85" s="1" t="s">
        <v>40</v>
      </c>
      <c r="H85" s="1" t="s">
        <v>59</v>
      </c>
      <c r="I85" s="1" t="s">
        <v>56</v>
      </c>
      <c r="J85" t="str">
        <f t="shared" si="6"/>
        <v>, LST_UPD_DTTI TIMESTAMP NOT NULL DEFAULT NOW() COMMENT '최종수정일시'</v>
      </c>
    </row>
    <row r="86" spans="2:10" x14ac:dyDescent="0.4">
      <c r="J86" t="str">
        <f>_xlfn.CONCAT(") COMMENT '",E74,"';")</f>
        <v>) COMMENT 'AI세션';</v>
      </c>
    </row>
    <row r="87" spans="2:10" x14ac:dyDescent="0.4">
      <c r="B87" s="10" t="s">
        <v>28</v>
      </c>
      <c r="C87" s="11"/>
      <c r="D87" s="11"/>
      <c r="E87" s="11"/>
      <c r="F87" s="11"/>
      <c r="G87" s="11"/>
      <c r="H87" s="11"/>
      <c r="I87" s="12"/>
    </row>
    <row r="88" spans="2:10" x14ac:dyDescent="0.4">
      <c r="B88" s="5" t="s">
        <v>1</v>
      </c>
      <c r="C88" s="4" t="s">
        <v>300</v>
      </c>
      <c r="D88" s="5" t="s">
        <v>3</v>
      </c>
      <c r="E88" s="4" t="s">
        <v>301</v>
      </c>
      <c r="F88" s="5" t="s">
        <v>29</v>
      </c>
      <c r="G88" s="4" t="s">
        <v>38</v>
      </c>
      <c r="H88" s="5" t="s">
        <v>30</v>
      </c>
      <c r="I88" s="6">
        <v>46022</v>
      </c>
      <c r="J88" t="str">
        <f>_xlfn.CONCAT("DROP TABLE IF EXISTS ",C88,";")</f>
        <v>DROP TABLE IF EXISTS tb_ai_turn;</v>
      </c>
    </row>
    <row r="89" spans="2:10" x14ac:dyDescent="0.4">
      <c r="B89" s="5" t="s">
        <v>31</v>
      </c>
      <c r="C89" s="13" t="s">
        <v>327</v>
      </c>
      <c r="D89" s="13"/>
      <c r="E89" s="13"/>
      <c r="F89" s="13"/>
      <c r="G89" s="13"/>
      <c r="H89" s="13"/>
      <c r="I89" s="13"/>
      <c r="J89" t="str">
        <f>_xlfn.CONCAT("CREATE TABLE ",C88)</f>
        <v>CREATE TABLE tb_ai_turn</v>
      </c>
    </row>
    <row r="90" spans="2:10" x14ac:dyDescent="0.4">
      <c r="B90" s="5" t="s">
        <v>32</v>
      </c>
      <c r="C90" s="5" t="s">
        <v>1</v>
      </c>
      <c r="D90" s="5" t="s">
        <v>3</v>
      </c>
      <c r="E90" s="5" t="s">
        <v>33</v>
      </c>
      <c r="F90" s="5" t="s">
        <v>34</v>
      </c>
      <c r="G90" s="5" t="s">
        <v>35</v>
      </c>
      <c r="H90" s="5" t="s">
        <v>22</v>
      </c>
      <c r="I90" s="5" t="s">
        <v>36</v>
      </c>
      <c r="J90" t="str">
        <f>_xlfn.CONCAT("(")</f>
        <v>(</v>
      </c>
    </row>
    <row r="91" spans="2:10" x14ac:dyDescent="0.4">
      <c r="B91" s="4">
        <v>1</v>
      </c>
      <c r="C91" s="1" t="s">
        <v>302</v>
      </c>
      <c r="D91" s="1" t="s">
        <v>303</v>
      </c>
      <c r="E91" s="4" t="s">
        <v>283</v>
      </c>
      <c r="F91" s="4">
        <v>1</v>
      </c>
      <c r="G91" s="1" t="s">
        <v>40</v>
      </c>
      <c r="H91" s="1" t="s">
        <v>194</v>
      </c>
      <c r="I91" s="1" t="s">
        <v>303</v>
      </c>
      <c r="J91" t="str">
        <f>_xlfn.CONCAT(IF(B91=1,"",", "),C91," ",E91," ",G91,_xlfn.IFS(H91="","",H91="AUTO_INCREMENT"," AUTO_INCREMENT PRIMARY KEY",TRUE,_xlfn.CONCAT(" DEFAULT"," ",H91)), " COMMENT '",I91,"'")</f>
        <v>TURN_ID BIGINT NOT NULL AUTO_INCREMENT PRIMARY KEY COMMENT '턴ID'</v>
      </c>
    </row>
    <row r="92" spans="2:10" x14ac:dyDescent="0.4">
      <c r="B92" s="4">
        <v>2</v>
      </c>
      <c r="C92" s="1" t="s">
        <v>290</v>
      </c>
      <c r="D92" s="1" t="s">
        <v>291</v>
      </c>
      <c r="E92" s="4" t="s">
        <v>283</v>
      </c>
      <c r="F92" s="4"/>
      <c r="G92" s="1" t="s">
        <v>43</v>
      </c>
      <c r="H92" s="1"/>
      <c r="I92" s="1" t="s">
        <v>291</v>
      </c>
      <c r="J92" t="str">
        <f t="shared" ref="J92:J96" si="7">_xlfn.CONCAT(IF(B92=1,"",", "),C92," ",E92," ",G92,_xlfn.IFS(H92="","",H92="AUTO_INCREMENT"," AUTO_INCREMENT PRIMARY KEY",TRUE,_xlfn.CONCAT(" DEFAULT"," ",H92)), " COMMENT '",I92,"'")</f>
        <v>, SESSION_ID BIGINT NULL COMMENT '세션ID'</v>
      </c>
    </row>
    <row r="93" spans="2:10" x14ac:dyDescent="0.4">
      <c r="B93" s="4">
        <v>3</v>
      </c>
      <c r="C93" s="1" t="s">
        <v>304</v>
      </c>
      <c r="D93" s="1" t="s">
        <v>306</v>
      </c>
      <c r="E93" s="4" t="s">
        <v>173</v>
      </c>
      <c r="F93" s="4"/>
      <c r="G93" s="1" t="s">
        <v>43</v>
      </c>
      <c r="H93" s="1"/>
      <c r="I93" s="1" t="s">
        <v>305</v>
      </c>
      <c r="J93" t="str">
        <f t="shared" si="7"/>
        <v>, TURN_NO INT NULL COMMENT '세션 내 순번'</v>
      </c>
    </row>
    <row r="94" spans="2:10" x14ac:dyDescent="0.4">
      <c r="B94" s="4">
        <v>4</v>
      </c>
      <c r="C94" s="1" t="s">
        <v>307</v>
      </c>
      <c r="D94" s="1" t="s">
        <v>309</v>
      </c>
      <c r="E94" s="4" t="s">
        <v>308</v>
      </c>
      <c r="F94" s="4"/>
      <c r="G94" s="1" t="s">
        <v>43</v>
      </c>
      <c r="H94" s="1"/>
      <c r="I94" s="1" t="s">
        <v>310</v>
      </c>
      <c r="J94" t="str">
        <f t="shared" si="7"/>
        <v>, USER_INPUT TEXT NULL COMMENT '사용자입력 원문'</v>
      </c>
    </row>
    <row r="95" spans="2:10" x14ac:dyDescent="0.4">
      <c r="B95" s="4">
        <v>5</v>
      </c>
      <c r="C95" s="1" t="s">
        <v>311</v>
      </c>
      <c r="D95" s="1" t="s">
        <v>312</v>
      </c>
      <c r="E95" s="4" t="s">
        <v>313</v>
      </c>
      <c r="F95" s="4"/>
      <c r="G95" s="1" t="s">
        <v>43</v>
      </c>
      <c r="H95" s="1"/>
      <c r="I95" s="1" t="s">
        <v>312</v>
      </c>
      <c r="J95" t="str">
        <f t="shared" si="7"/>
        <v>, FINAL_ANSWER MEDIUMTEXT NULL COMMENT '최종답변'</v>
      </c>
    </row>
    <row r="96" spans="2:10" x14ac:dyDescent="0.4">
      <c r="B96" s="4">
        <v>6</v>
      </c>
      <c r="C96" s="1" t="s">
        <v>314</v>
      </c>
      <c r="D96" s="1" t="s">
        <v>315</v>
      </c>
      <c r="E96" s="4" t="s">
        <v>173</v>
      </c>
      <c r="F96" s="4"/>
      <c r="G96" s="1" t="s">
        <v>43</v>
      </c>
      <c r="H96" s="9">
        <v>0</v>
      </c>
      <c r="I96" s="1" t="s">
        <v>315</v>
      </c>
      <c r="J96" t="str">
        <f t="shared" si="7"/>
        <v>, ROUND_COUNT INT NULL DEFAULT 0 COMMENT '라운드'</v>
      </c>
    </row>
    <row r="97" spans="2:10" x14ac:dyDescent="0.4">
      <c r="B97" s="4">
        <v>7</v>
      </c>
      <c r="C97" s="1" t="s">
        <v>320</v>
      </c>
      <c r="D97" s="1" t="s">
        <v>321</v>
      </c>
      <c r="E97" s="4" t="s">
        <v>398</v>
      </c>
      <c r="F97" s="4"/>
      <c r="G97" s="1" t="s">
        <v>43</v>
      </c>
      <c r="H97" s="7"/>
      <c r="I97" s="1" t="s">
        <v>322</v>
      </c>
      <c r="J97" t="str">
        <f t="shared" ref="J97:J102" si="8">_xlfn.CONCAT(IF(B97=1,"",", "),C97," ",E97," ",G97,_xlfn.IFS(H97="","",H97="AUTO_INCREMENT"," AUTO_INCREMENT PRIMARY KEY",TRUE,_xlfn.CONCAT(" DEFAULT"," ",H97)), " COMMENT '",I97,"'")</f>
        <v>, AI_FINISH_RSCD VARCHAR(2) NULL COMMENT 'AI종료원인코드(01:정지, 02:TOOL_CALL, 03:최대 라운드, 04: 오류, 05:기타)'</v>
      </c>
    </row>
    <row r="98" spans="2:10" x14ac:dyDescent="0.4">
      <c r="B98" s="4">
        <v>8</v>
      </c>
      <c r="C98" s="1" t="s">
        <v>316</v>
      </c>
      <c r="D98" s="1" t="s">
        <v>318</v>
      </c>
      <c r="E98" s="4" t="s">
        <v>296</v>
      </c>
      <c r="F98" s="4"/>
      <c r="G98" s="1" t="s">
        <v>43</v>
      </c>
      <c r="H98" s="7"/>
      <c r="I98" s="1" t="s">
        <v>318</v>
      </c>
      <c r="J98" t="str">
        <f t="shared" si="8"/>
        <v>, ERROR_CODE VARCHAR(50) NULL COMMENT '오류코드'</v>
      </c>
    </row>
    <row r="99" spans="2:10" x14ac:dyDescent="0.4">
      <c r="B99" s="4">
        <v>9</v>
      </c>
      <c r="C99" s="1" t="s">
        <v>317</v>
      </c>
      <c r="D99" s="1" t="s">
        <v>319</v>
      </c>
      <c r="E99" s="4" t="s">
        <v>308</v>
      </c>
      <c r="F99" s="4"/>
      <c r="G99" s="1" t="s">
        <v>43</v>
      </c>
      <c r="H99" s="7"/>
      <c r="I99" s="1" t="s">
        <v>319</v>
      </c>
      <c r="J99" t="str">
        <f t="shared" si="8"/>
        <v>, ERROR_MESSAGE TEXT NULL COMMENT '오류메세지'</v>
      </c>
    </row>
    <row r="100" spans="2:10" x14ac:dyDescent="0.4">
      <c r="B100" s="4">
        <v>10</v>
      </c>
      <c r="C100" s="1" t="s">
        <v>381</v>
      </c>
      <c r="D100" s="1" t="s">
        <v>384</v>
      </c>
      <c r="E100" s="4" t="s">
        <v>86</v>
      </c>
      <c r="F100" s="4"/>
      <c r="G100" s="1" t="s">
        <v>43</v>
      </c>
      <c r="H100" s="7"/>
      <c r="I100" s="1" t="s">
        <v>384</v>
      </c>
      <c r="J100" t="str">
        <f t="shared" si="8"/>
        <v>, INPUT_TOKENS INT NULL COMMENT '입력토큰'</v>
      </c>
    </row>
    <row r="101" spans="2:10" x14ac:dyDescent="0.4">
      <c r="B101" s="4">
        <v>11</v>
      </c>
      <c r="C101" s="1" t="s">
        <v>382</v>
      </c>
      <c r="D101" s="1" t="s">
        <v>385</v>
      </c>
      <c r="E101" s="4" t="s">
        <v>86</v>
      </c>
      <c r="F101" s="4"/>
      <c r="G101" s="1" t="s">
        <v>43</v>
      </c>
      <c r="H101" s="7"/>
      <c r="I101" s="1" t="s">
        <v>385</v>
      </c>
      <c r="J101" t="str">
        <f t="shared" si="8"/>
        <v>, OUTPUT_TOKENS INT NULL COMMENT '출력토큰'</v>
      </c>
    </row>
    <row r="102" spans="2:10" x14ac:dyDescent="0.4">
      <c r="B102" s="4">
        <v>12</v>
      </c>
      <c r="C102" s="1" t="s">
        <v>383</v>
      </c>
      <c r="D102" s="1" t="s">
        <v>386</v>
      </c>
      <c r="E102" s="4" t="s">
        <v>86</v>
      </c>
      <c r="F102" s="4"/>
      <c r="G102" s="1" t="s">
        <v>43</v>
      </c>
      <c r="H102" s="7"/>
      <c r="I102" s="1" t="s">
        <v>386</v>
      </c>
      <c r="J102" t="str">
        <f t="shared" si="8"/>
        <v>, TOTAL_TOKENS INT NULL COMMENT '총토큰'</v>
      </c>
    </row>
    <row r="103" spans="2:10" x14ac:dyDescent="0.4">
      <c r="B103" s="4">
        <v>13</v>
      </c>
      <c r="C103" s="1" t="s">
        <v>195</v>
      </c>
      <c r="D103" s="1" t="s">
        <v>215</v>
      </c>
      <c r="E103" s="4" t="s">
        <v>173</v>
      </c>
      <c r="F103" s="4"/>
      <c r="G103" s="1" t="s">
        <v>40</v>
      </c>
      <c r="H103" s="1" t="s">
        <v>58</v>
      </c>
      <c r="I103" s="1" t="s">
        <v>197</v>
      </c>
      <c r="J103" t="str">
        <f t="shared" ref="J103:J106" si="9">_xlfn.CONCAT(IF(B103=1,"",", "),C103," ",E103," ",G103,_xlfn.IFS(H103="","",H103="AUTO_INCREMENT"," AUTO_INCREMENT PRIMARY KEY",TRUE,_xlfn.CONCAT(" DEFAULT"," ",H103)), " COMMENT '",I103,"'")</f>
        <v>, FST_REG_SEQ INT NOT NULL COMMENT '최초등록자일련번호'</v>
      </c>
    </row>
    <row r="104" spans="2:10" x14ac:dyDescent="0.4">
      <c r="B104" s="4">
        <v>14</v>
      </c>
      <c r="C104" s="1" t="s">
        <v>50</v>
      </c>
      <c r="D104" s="1" t="s">
        <v>55</v>
      </c>
      <c r="E104" s="4" t="s">
        <v>49</v>
      </c>
      <c r="F104" s="4"/>
      <c r="G104" s="1" t="s">
        <v>40</v>
      </c>
      <c r="H104" s="1" t="s">
        <v>59</v>
      </c>
      <c r="I104" s="1" t="s">
        <v>55</v>
      </c>
      <c r="J104" t="str">
        <f t="shared" si="9"/>
        <v>, FST_REG_DTTI TIMESTAMP NOT NULL DEFAULT NOW() COMMENT '최초등록일시'</v>
      </c>
    </row>
    <row r="105" spans="2:10" x14ac:dyDescent="0.4">
      <c r="B105" s="4">
        <v>15</v>
      </c>
      <c r="C105" s="1" t="s">
        <v>241</v>
      </c>
      <c r="D105" s="1" t="s">
        <v>198</v>
      </c>
      <c r="E105" s="4" t="s">
        <v>173</v>
      </c>
      <c r="F105" s="4"/>
      <c r="G105" s="1" t="s">
        <v>40</v>
      </c>
      <c r="H105" s="1" t="s">
        <v>58</v>
      </c>
      <c r="I105" s="1" t="s">
        <v>198</v>
      </c>
      <c r="J105" t="str">
        <f t="shared" si="9"/>
        <v>, LST_UPD_SEQ INT NOT NULL COMMENT '최종수정자일련번호'</v>
      </c>
    </row>
    <row r="106" spans="2:10" x14ac:dyDescent="0.4">
      <c r="B106" s="4">
        <v>16</v>
      </c>
      <c r="C106" s="1" t="s">
        <v>239</v>
      </c>
      <c r="D106" s="1" t="s">
        <v>56</v>
      </c>
      <c r="E106" s="4" t="s">
        <v>49</v>
      </c>
      <c r="F106" s="4"/>
      <c r="G106" s="1" t="s">
        <v>40</v>
      </c>
      <c r="H106" s="1" t="s">
        <v>59</v>
      </c>
      <c r="I106" s="1" t="s">
        <v>56</v>
      </c>
      <c r="J106" t="str">
        <f t="shared" si="9"/>
        <v>, LST_UPD_DTTI TIMESTAMP NOT NULL DEFAULT NOW() COMMENT '최종수정일시'</v>
      </c>
    </row>
    <row r="107" spans="2:10" x14ac:dyDescent="0.4">
      <c r="J107" t="str">
        <f>_xlfn.CONCAT(") COMMENT '",E88,"';")</f>
        <v>) COMMENT 'AI턴';</v>
      </c>
    </row>
    <row r="108" spans="2:10" x14ac:dyDescent="0.4">
      <c r="B108" s="10" t="s">
        <v>28</v>
      </c>
      <c r="C108" s="11"/>
      <c r="D108" s="11"/>
      <c r="E108" s="11"/>
      <c r="F108" s="11"/>
      <c r="G108" s="11"/>
      <c r="H108" s="11"/>
      <c r="I108" s="12"/>
    </row>
    <row r="109" spans="2:10" x14ac:dyDescent="0.4">
      <c r="B109" s="5" t="s">
        <v>1</v>
      </c>
      <c r="C109" s="4" t="s">
        <v>346</v>
      </c>
      <c r="D109" s="5" t="s">
        <v>3</v>
      </c>
      <c r="E109" s="4" t="s">
        <v>325</v>
      </c>
      <c r="F109" s="5" t="s">
        <v>29</v>
      </c>
      <c r="G109" s="4" t="s">
        <v>38</v>
      </c>
      <c r="H109" s="5" t="s">
        <v>30</v>
      </c>
      <c r="I109" s="6">
        <v>46022</v>
      </c>
      <c r="J109" t="str">
        <f>_xlfn.CONCAT("DROP TABLE IF EXISTS ",C109,";")</f>
        <v>DROP TABLE IF EXISTS tb_ai_tool_call;</v>
      </c>
    </row>
    <row r="110" spans="2:10" x14ac:dyDescent="0.4">
      <c r="B110" s="5" t="s">
        <v>31</v>
      </c>
      <c r="C110" s="13" t="s">
        <v>326</v>
      </c>
      <c r="D110" s="13"/>
      <c r="E110" s="13"/>
      <c r="F110" s="13"/>
      <c r="G110" s="13"/>
      <c r="H110" s="13"/>
      <c r="I110" s="13"/>
      <c r="J110" t="str">
        <f>_xlfn.CONCAT("CREATE TABLE ",C109)</f>
        <v>CREATE TABLE tb_ai_tool_call</v>
      </c>
    </row>
    <row r="111" spans="2:10" x14ac:dyDescent="0.4">
      <c r="B111" s="5" t="s">
        <v>32</v>
      </c>
      <c r="C111" s="5" t="s">
        <v>1</v>
      </c>
      <c r="D111" s="5" t="s">
        <v>3</v>
      </c>
      <c r="E111" s="5" t="s">
        <v>33</v>
      </c>
      <c r="F111" s="5" t="s">
        <v>34</v>
      </c>
      <c r="G111" s="5" t="s">
        <v>35</v>
      </c>
      <c r="H111" s="5" t="s">
        <v>22</v>
      </c>
      <c r="I111" s="5" t="s">
        <v>36</v>
      </c>
      <c r="J111" t="str">
        <f>_xlfn.CONCAT("(")</f>
        <v>(</v>
      </c>
    </row>
    <row r="112" spans="2:10" x14ac:dyDescent="0.4">
      <c r="B112" s="4">
        <v>1</v>
      </c>
      <c r="C112" s="1" t="s">
        <v>329</v>
      </c>
      <c r="D112" s="1" t="s">
        <v>330</v>
      </c>
      <c r="E112" s="4" t="s">
        <v>283</v>
      </c>
      <c r="F112" s="4">
        <v>1</v>
      </c>
      <c r="G112" s="1" t="s">
        <v>40</v>
      </c>
      <c r="H112" s="1" t="s">
        <v>194</v>
      </c>
      <c r="I112" s="1" t="s">
        <v>330</v>
      </c>
      <c r="J112" t="str">
        <f>_xlfn.CONCAT(IF(B112=1,"",", "),C112," ",E112," ",G112,_xlfn.IFS(H112="","",H112="AUTO_INCREMENT"," AUTO_INCREMENT PRIMARY KEY",TRUE,_xlfn.CONCAT(" DEFAULT"," ",H112)), " COMMENT '",I112,"'")</f>
        <v>TOOL_CALL_ID BIGINT NOT NULL AUTO_INCREMENT PRIMARY KEY COMMENT '툴호출ID'</v>
      </c>
    </row>
    <row r="113" spans="2:10" x14ac:dyDescent="0.4">
      <c r="B113" s="4">
        <v>2</v>
      </c>
      <c r="C113" s="1" t="s">
        <v>302</v>
      </c>
      <c r="D113" s="1" t="s">
        <v>303</v>
      </c>
      <c r="E113" s="4" t="s">
        <v>283</v>
      </c>
      <c r="F113" s="4"/>
      <c r="G113" s="1" t="s">
        <v>43</v>
      </c>
      <c r="H113" s="1"/>
      <c r="I113" s="1" t="s">
        <v>303</v>
      </c>
      <c r="J113" t="str">
        <f t="shared" ref="J113:J117" si="10">_xlfn.CONCAT(IF(B113=1,"",", "),C113," ",E113," ",G113,_xlfn.IFS(H113="","",H113="AUTO_INCREMENT"," AUTO_INCREMENT PRIMARY KEY",TRUE,_xlfn.CONCAT(" DEFAULT"," ",H113)), " COMMENT '",I113,"'")</f>
        <v>, TURN_ID BIGINT NULL COMMENT '턴ID'</v>
      </c>
    </row>
    <row r="114" spans="2:10" x14ac:dyDescent="0.4">
      <c r="B114" s="4">
        <v>3</v>
      </c>
      <c r="C114" s="1" t="s">
        <v>332</v>
      </c>
      <c r="D114" s="1" t="s">
        <v>315</v>
      </c>
      <c r="E114" s="4" t="s">
        <v>173</v>
      </c>
      <c r="F114" s="4"/>
      <c r="G114" s="1" t="s">
        <v>43</v>
      </c>
      <c r="H114" s="1"/>
      <c r="I114" s="1" t="s">
        <v>331</v>
      </c>
      <c r="J114" t="str">
        <f t="shared" si="10"/>
        <v>, ROUND_NO INT NULL COMMENT '라운드(0~MAX_ROUNDS-1)'</v>
      </c>
    </row>
    <row r="115" spans="2:10" x14ac:dyDescent="0.4">
      <c r="B115" s="4">
        <v>4</v>
      </c>
      <c r="C115" s="1" t="s">
        <v>333</v>
      </c>
      <c r="D115" s="1" t="s">
        <v>334</v>
      </c>
      <c r="E115" s="4" t="s">
        <v>105</v>
      </c>
      <c r="F115" s="4"/>
      <c r="G115" s="1" t="s">
        <v>43</v>
      </c>
      <c r="H115" s="1"/>
      <c r="I115" s="1" t="s">
        <v>375</v>
      </c>
      <c r="J115" t="str">
        <f t="shared" si="10"/>
        <v>, CALL_ID VARCHAR(100) NULL COMMENT '호출ID(fc.callId())'</v>
      </c>
    </row>
    <row r="116" spans="2:10" x14ac:dyDescent="0.4">
      <c r="B116" s="4">
        <v>5</v>
      </c>
      <c r="C116" s="1" t="s">
        <v>335</v>
      </c>
      <c r="D116" s="1" t="s">
        <v>336</v>
      </c>
      <c r="E116" s="4" t="s">
        <v>105</v>
      </c>
      <c r="F116" s="4"/>
      <c r="G116" s="1" t="s">
        <v>43</v>
      </c>
      <c r="H116" s="1"/>
      <c r="I116" s="1" t="s">
        <v>336</v>
      </c>
      <c r="J116" t="str">
        <f t="shared" si="10"/>
        <v>, TOOL_NM VARCHAR(100) NULL COMMENT '툴이름'</v>
      </c>
    </row>
    <row r="117" spans="2:10" x14ac:dyDescent="0.4">
      <c r="B117" s="4">
        <v>6</v>
      </c>
      <c r="C117" s="1" t="s">
        <v>337</v>
      </c>
      <c r="D117" s="1" t="s">
        <v>339</v>
      </c>
      <c r="E117" s="4" t="s">
        <v>338</v>
      </c>
      <c r="F117" s="4"/>
      <c r="G117" s="1" t="s">
        <v>43</v>
      </c>
      <c r="H117" s="9"/>
      <c r="I117" s="1" t="s">
        <v>339</v>
      </c>
      <c r="J117" t="str">
        <f t="shared" si="10"/>
        <v>, ARGUMENTS_JSON JSON NULL COMMENT '호출인자'</v>
      </c>
    </row>
    <row r="118" spans="2:10" x14ac:dyDescent="0.4">
      <c r="B118" s="4">
        <v>7</v>
      </c>
      <c r="C118" s="1" t="s">
        <v>340</v>
      </c>
      <c r="D118" s="1" t="s">
        <v>342</v>
      </c>
      <c r="E118" s="4" t="s">
        <v>49</v>
      </c>
      <c r="F118" s="4"/>
      <c r="G118" s="1" t="s">
        <v>43</v>
      </c>
      <c r="H118" s="7"/>
      <c r="I118" s="1" t="s">
        <v>342</v>
      </c>
      <c r="J118" t="str">
        <f>_xlfn.CONCAT(IF(B118=1,"",", "),C118," ",E118," ",G118,_xlfn.IFS(H118="","",H118="AUTO_INCREMENT"," AUTO_INCREMENT PRIMARY KEY",TRUE,_xlfn.CONCAT(" DEFAULT"," ",H118)), " COMMENT '",I118,"'")</f>
        <v>, START_DTTI TIMESTAMP NULL COMMENT '시작일시'</v>
      </c>
    </row>
    <row r="119" spans="2:10" x14ac:dyDescent="0.4">
      <c r="B119" s="4">
        <v>8</v>
      </c>
      <c r="C119" s="1" t="s">
        <v>341</v>
      </c>
      <c r="D119" s="1" t="s">
        <v>343</v>
      </c>
      <c r="E119" s="4" t="s">
        <v>49</v>
      </c>
      <c r="F119" s="4"/>
      <c r="G119" s="1" t="s">
        <v>43</v>
      </c>
      <c r="H119" s="7"/>
      <c r="I119" s="1" t="s">
        <v>343</v>
      </c>
      <c r="J119" t="str">
        <f>_xlfn.CONCAT(IF(B119=1,"",", "),C119," ",E119," ",G119,_xlfn.IFS(H119="","",H119="AUTO_INCREMENT"," AUTO_INCREMENT PRIMARY KEY",TRUE,_xlfn.CONCAT(" DEFAULT"," ",H119)), " COMMENT '",I119,"'")</f>
        <v>, END_DTTI TIMESTAMP NULL COMMENT '종료일시'</v>
      </c>
    </row>
    <row r="120" spans="2:10" x14ac:dyDescent="0.4">
      <c r="B120" s="4">
        <v>9</v>
      </c>
      <c r="C120" s="1" t="s">
        <v>344</v>
      </c>
      <c r="D120" s="1" t="s">
        <v>345</v>
      </c>
      <c r="E120" s="4" t="s">
        <v>173</v>
      </c>
      <c r="F120" s="4"/>
      <c r="G120" s="1" t="s">
        <v>43</v>
      </c>
      <c r="H120" s="7"/>
      <c r="I120" s="1" t="s">
        <v>345</v>
      </c>
      <c r="J120" t="str">
        <f>_xlfn.CONCAT(IF(B120=1,"",", "),C120," ",E120," ",G120,_xlfn.IFS(H120="","",H120="AUTO_INCREMENT"," AUTO_INCREMENT PRIMARY KEY",TRUE,_xlfn.CONCAT(" DEFAULT"," ",H120)), " COMMENT '",I120,"'")</f>
        <v>, DURATION_MS INT NULL COMMENT '소요시간'</v>
      </c>
    </row>
    <row r="121" spans="2:10" x14ac:dyDescent="0.4">
      <c r="B121" s="4">
        <v>10</v>
      </c>
      <c r="C121" s="1" t="s">
        <v>195</v>
      </c>
      <c r="D121" s="1" t="s">
        <v>215</v>
      </c>
      <c r="E121" s="4" t="s">
        <v>173</v>
      </c>
      <c r="F121" s="4"/>
      <c r="G121" s="1" t="s">
        <v>40</v>
      </c>
      <c r="H121" s="1" t="s">
        <v>58</v>
      </c>
      <c r="I121" s="1" t="s">
        <v>197</v>
      </c>
      <c r="J121" t="str">
        <f t="shared" ref="J121:J124" si="11">_xlfn.CONCAT(IF(B121=1,"",", "),C121," ",E121," ",G121,_xlfn.IFS(H121="","",H121="AUTO_INCREMENT"," AUTO_INCREMENT PRIMARY KEY",TRUE,_xlfn.CONCAT(" DEFAULT"," ",H121)), " COMMENT '",I121,"'")</f>
        <v>, FST_REG_SEQ INT NOT NULL COMMENT '최초등록자일련번호'</v>
      </c>
    </row>
    <row r="122" spans="2:10" x14ac:dyDescent="0.4">
      <c r="B122" s="4">
        <v>11</v>
      </c>
      <c r="C122" s="1" t="s">
        <v>50</v>
      </c>
      <c r="D122" s="1" t="s">
        <v>55</v>
      </c>
      <c r="E122" s="4" t="s">
        <v>49</v>
      </c>
      <c r="F122" s="4"/>
      <c r="G122" s="1" t="s">
        <v>40</v>
      </c>
      <c r="H122" s="1" t="s">
        <v>59</v>
      </c>
      <c r="I122" s="1" t="s">
        <v>55</v>
      </c>
      <c r="J122" t="str">
        <f t="shared" si="11"/>
        <v>, FST_REG_DTTI TIMESTAMP NOT NULL DEFAULT NOW() COMMENT '최초등록일시'</v>
      </c>
    </row>
    <row r="123" spans="2:10" x14ac:dyDescent="0.4">
      <c r="B123" s="4">
        <v>12</v>
      </c>
      <c r="C123" s="1" t="s">
        <v>241</v>
      </c>
      <c r="D123" s="1" t="s">
        <v>198</v>
      </c>
      <c r="E123" s="4" t="s">
        <v>173</v>
      </c>
      <c r="F123" s="4"/>
      <c r="G123" s="1" t="s">
        <v>40</v>
      </c>
      <c r="H123" s="1" t="s">
        <v>58</v>
      </c>
      <c r="I123" s="1" t="s">
        <v>198</v>
      </c>
      <c r="J123" t="str">
        <f t="shared" si="11"/>
        <v>, LST_UPD_SEQ INT NOT NULL COMMENT '최종수정자일련번호'</v>
      </c>
    </row>
    <row r="124" spans="2:10" x14ac:dyDescent="0.4">
      <c r="B124" s="4">
        <v>13</v>
      </c>
      <c r="C124" s="1" t="s">
        <v>239</v>
      </c>
      <c r="D124" s="1" t="s">
        <v>56</v>
      </c>
      <c r="E124" s="4" t="s">
        <v>49</v>
      </c>
      <c r="F124" s="4"/>
      <c r="G124" s="1" t="s">
        <v>40</v>
      </c>
      <c r="H124" s="1" t="s">
        <v>59</v>
      </c>
      <c r="I124" s="1" t="s">
        <v>56</v>
      </c>
      <c r="J124" t="str">
        <f t="shared" si="11"/>
        <v>, LST_UPD_DTTI TIMESTAMP NOT NULL DEFAULT NOW() COMMENT '최종수정일시'</v>
      </c>
    </row>
    <row r="125" spans="2:10" x14ac:dyDescent="0.4">
      <c r="J125" t="str">
        <f>_xlfn.CONCAT(") COMMENT '",E109,"';")</f>
        <v>) COMMENT 'AI툴호출';</v>
      </c>
    </row>
    <row r="126" spans="2:10" x14ac:dyDescent="0.4">
      <c r="B126" s="10" t="s">
        <v>28</v>
      </c>
      <c r="C126" s="11"/>
      <c r="D126" s="11"/>
      <c r="E126" s="11"/>
      <c r="F126" s="11"/>
      <c r="G126" s="11"/>
      <c r="H126" s="11"/>
      <c r="I126" s="12"/>
    </row>
    <row r="127" spans="2:10" x14ac:dyDescent="0.4">
      <c r="B127" s="5" t="s">
        <v>1</v>
      </c>
      <c r="C127" s="4" t="s">
        <v>347</v>
      </c>
      <c r="D127" s="5" t="s">
        <v>3</v>
      </c>
      <c r="E127" s="4" t="s">
        <v>348</v>
      </c>
      <c r="F127" s="5" t="s">
        <v>29</v>
      </c>
      <c r="G127" s="4" t="s">
        <v>38</v>
      </c>
      <c r="H127" s="5" t="s">
        <v>30</v>
      </c>
      <c r="I127" s="6">
        <v>46022</v>
      </c>
      <c r="J127" t="str">
        <f>_xlfn.CONCAT("DROP TABLE IF EXISTS ",C127,";")</f>
        <v>DROP TABLE IF EXISTS tb_ai_tool_result;</v>
      </c>
    </row>
    <row r="128" spans="2:10" x14ac:dyDescent="0.4">
      <c r="B128" s="5" t="s">
        <v>31</v>
      </c>
      <c r="C128" s="13" t="s">
        <v>349</v>
      </c>
      <c r="D128" s="13"/>
      <c r="E128" s="13"/>
      <c r="F128" s="13"/>
      <c r="G128" s="13"/>
      <c r="H128" s="13"/>
      <c r="I128" s="13"/>
      <c r="J128" t="str">
        <f>_xlfn.CONCAT("CREATE TABLE ",C127)</f>
        <v>CREATE TABLE tb_ai_tool_result</v>
      </c>
    </row>
    <row r="129" spans="2:10" x14ac:dyDescent="0.4">
      <c r="B129" s="5" t="s">
        <v>32</v>
      </c>
      <c r="C129" s="5" t="s">
        <v>1</v>
      </c>
      <c r="D129" s="5" t="s">
        <v>3</v>
      </c>
      <c r="E129" s="5" t="s">
        <v>33</v>
      </c>
      <c r="F129" s="5" t="s">
        <v>34</v>
      </c>
      <c r="G129" s="5" t="s">
        <v>35</v>
      </c>
      <c r="H129" s="5" t="s">
        <v>22</v>
      </c>
      <c r="I129" s="5" t="s">
        <v>36</v>
      </c>
      <c r="J129" t="str">
        <f>_xlfn.CONCAT("(")</f>
        <v>(</v>
      </c>
    </row>
    <row r="130" spans="2:10" x14ac:dyDescent="0.4">
      <c r="B130" s="4">
        <v>1</v>
      </c>
      <c r="C130" s="1" t="s">
        <v>350</v>
      </c>
      <c r="D130" s="1" t="s">
        <v>351</v>
      </c>
      <c r="E130" s="4" t="s">
        <v>283</v>
      </c>
      <c r="F130" s="4">
        <v>1</v>
      </c>
      <c r="G130" s="1" t="s">
        <v>40</v>
      </c>
      <c r="H130" s="1" t="s">
        <v>194</v>
      </c>
      <c r="I130" s="1" t="s">
        <v>351</v>
      </c>
      <c r="J130" t="str">
        <f>_xlfn.CONCAT(IF(B130=1,"",", "),C130," ",E130," ",G130,_xlfn.IFS(H130="","",H130="AUTO_INCREMENT"," AUTO_INCREMENT PRIMARY KEY",TRUE,_xlfn.CONCAT(" DEFAULT"," ",H130)), " COMMENT '",I130,"'")</f>
        <v>TOOL_RESULT_ID BIGINT NOT NULL AUTO_INCREMENT PRIMARY KEY COMMENT '툴결과ID'</v>
      </c>
    </row>
    <row r="131" spans="2:10" x14ac:dyDescent="0.4">
      <c r="B131" s="4">
        <v>2</v>
      </c>
      <c r="C131" s="1" t="s">
        <v>329</v>
      </c>
      <c r="D131" s="1" t="s">
        <v>330</v>
      </c>
      <c r="E131" s="4" t="s">
        <v>283</v>
      </c>
      <c r="F131" s="4"/>
      <c r="G131" s="1" t="s">
        <v>43</v>
      </c>
      <c r="H131" s="1"/>
      <c r="I131" s="1" t="s">
        <v>330</v>
      </c>
      <c r="J131" t="str">
        <f t="shared" ref="J131:J135" si="12">_xlfn.CONCAT(IF(B131=1,"",", "),C131," ",E131," ",G131,_xlfn.IFS(H131="","",H131="AUTO_INCREMENT"," AUTO_INCREMENT PRIMARY KEY",TRUE,_xlfn.CONCAT(" DEFAULT"," ",H131)), " COMMENT '",I131,"'")</f>
        <v>, TOOL_CALL_ID BIGINT NULL COMMENT '툴호출ID'</v>
      </c>
    </row>
    <row r="132" spans="2:10" x14ac:dyDescent="0.4">
      <c r="B132" s="4">
        <v>3</v>
      </c>
      <c r="C132" s="1" t="s">
        <v>352</v>
      </c>
      <c r="D132" s="1" t="s">
        <v>353</v>
      </c>
      <c r="E132" s="4" t="s">
        <v>338</v>
      </c>
      <c r="F132" s="4"/>
      <c r="G132" s="1" t="s">
        <v>43</v>
      </c>
      <c r="H132" s="1"/>
      <c r="I132" s="1" t="s">
        <v>355</v>
      </c>
      <c r="J132" t="str">
        <f t="shared" si="12"/>
        <v>, RESULT_JSON JSON NULL COMMENT '결과(outputAsJson)'</v>
      </c>
    </row>
    <row r="133" spans="2:10" x14ac:dyDescent="0.4">
      <c r="B133" s="4">
        <v>4</v>
      </c>
      <c r="C133" s="1" t="s">
        <v>354</v>
      </c>
      <c r="D133" s="1" t="s">
        <v>357</v>
      </c>
      <c r="E133" s="4" t="s">
        <v>173</v>
      </c>
      <c r="F133" s="4"/>
      <c r="G133" s="1" t="s">
        <v>43</v>
      </c>
      <c r="H133" s="1"/>
      <c r="I133" s="1" t="s">
        <v>357</v>
      </c>
      <c r="J133" t="str">
        <f t="shared" si="12"/>
        <v>, RESULT_ROWS INT NULL COMMENT '결과행수'</v>
      </c>
    </row>
    <row r="134" spans="2:10" x14ac:dyDescent="0.4">
      <c r="B134" s="4">
        <v>5</v>
      </c>
      <c r="C134" s="1" t="s">
        <v>356</v>
      </c>
      <c r="D134" s="1" t="s">
        <v>358</v>
      </c>
      <c r="E134" s="4" t="s">
        <v>173</v>
      </c>
      <c r="F134" s="4"/>
      <c r="G134" s="1" t="s">
        <v>43</v>
      </c>
      <c r="H134" s="1"/>
      <c r="I134" s="1" t="s">
        <v>358</v>
      </c>
      <c r="J134" t="str">
        <f t="shared" si="12"/>
        <v>, RESULT_BYTES INT NULL COMMENT '결과바이트'</v>
      </c>
    </row>
    <row r="135" spans="2:10" x14ac:dyDescent="0.4">
      <c r="B135" s="4">
        <v>6</v>
      </c>
      <c r="C135" s="1" t="s">
        <v>359</v>
      </c>
      <c r="D135" s="1" t="s">
        <v>360</v>
      </c>
      <c r="E135" s="4" t="s">
        <v>169</v>
      </c>
      <c r="F135" s="4"/>
      <c r="G135" s="1" t="s">
        <v>43</v>
      </c>
      <c r="H135" s="7" t="s">
        <v>214</v>
      </c>
      <c r="I135" s="1" t="s">
        <v>360</v>
      </c>
      <c r="J135" t="str">
        <f t="shared" si="12"/>
        <v>, ERROR_YN VARCHAR(1) NULL DEFAULT 'N' COMMENT '오류여부'</v>
      </c>
    </row>
    <row r="136" spans="2:10" x14ac:dyDescent="0.4">
      <c r="B136" s="4">
        <v>7</v>
      </c>
      <c r="C136" s="1" t="s">
        <v>317</v>
      </c>
      <c r="D136" s="1" t="s">
        <v>319</v>
      </c>
      <c r="E136" s="4" t="s">
        <v>308</v>
      </c>
      <c r="F136" s="4"/>
      <c r="G136" s="1" t="s">
        <v>43</v>
      </c>
      <c r="H136" s="7"/>
      <c r="I136" s="1" t="s">
        <v>319</v>
      </c>
      <c r="J136" t="str">
        <f>_xlfn.CONCAT(IF(B136=1,"",", "),C136," ",E136," ",G136,_xlfn.IFS(H136="","",H136="AUTO_INCREMENT"," AUTO_INCREMENT PRIMARY KEY",TRUE,_xlfn.CONCAT(" DEFAULT"," ",H136)), " COMMENT '",I136,"'")</f>
        <v>, ERROR_MESSAGE TEXT NULL COMMENT '오류메세지'</v>
      </c>
    </row>
    <row r="137" spans="2:10" x14ac:dyDescent="0.4">
      <c r="B137" s="4">
        <v>8</v>
      </c>
      <c r="C137" s="1" t="s">
        <v>195</v>
      </c>
      <c r="D137" s="1" t="s">
        <v>215</v>
      </c>
      <c r="E137" s="4" t="s">
        <v>173</v>
      </c>
      <c r="F137" s="4"/>
      <c r="G137" s="1" t="s">
        <v>40</v>
      </c>
      <c r="H137" s="1" t="s">
        <v>58</v>
      </c>
      <c r="I137" s="1" t="s">
        <v>197</v>
      </c>
      <c r="J137" t="str">
        <f t="shared" ref="J137:J140" si="13">_xlfn.CONCAT(IF(B137=1,"",", "),C137," ",E137," ",G137,_xlfn.IFS(H137="","",H137="AUTO_INCREMENT"," AUTO_INCREMENT PRIMARY KEY",TRUE,_xlfn.CONCAT(" DEFAULT"," ",H137)), " COMMENT '",I137,"'")</f>
        <v>, FST_REG_SEQ INT NOT NULL COMMENT '최초등록자일련번호'</v>
      </c>
    </row>
    <row r="138" spans="2:10" x14ac:dyDescent="0.4">
      <c r="B138" s="4">
        <v>9</v>
      </c>
      <c r="C138" s="1" t="s">
        <v>50</v>
      </c>
      <c r="D138" s="1" t="s">
        <v>55</v>
      </c>
      <c r="E138" s="4" t="s">
        <v>49</v>
      </c>
      <c r="F138" s="4"/>
      <c r="G138" s="1" t="s">
        <v>40</v>
      </c>
      <c r="H138" s="1" t="s">
        <v>59</v>
      </c>
      <c r="I138" s="1" t="s">
        <v>55</v>
      </c>
      <c r="J138" t="str">
        <f t="shared" si="13"/>
        <v>, FST_REG_DTTI TIMESTAMP NOT NULL DEFAULT NOW() COMMENT '최초등록일시'</v>
      </c>
    </row>
    <row r="139" spans="2:10" x14ac:dyDescent="0.4">
      <c r="B139" s="4">
        <v>10</v>
      </c>
      <c r="C139" s="1" t="s">
        <v>241</v>
      </c>
      <c r="D139" s="1" t="s">
        <v>198</v>
      </c>
      <c r="E139" s="4" t="s">
        <v>173</v>
      </c>
      <c r="F139" s="4"/>
      <c r="G139" s="1" t="s">
        <v>40</v>
      </c>
      <c r="H139" s="1" t="s">
        <v>58</v>
      </c>
      <c r="I139" s="1" t="s">
        <v>198</v>
      </c>
      <c r="J139" t="str">
        <f t="shared" si="13"/>
        <v>, LST_UPD_SEQ INT NOT NULL COMMENT '최종수정자일련번호'</v>
      </c>
    </row>
    <row r="140" spans="2:10" x14ac:dyDescent="0.4">
      <c r="B140" s="4">
        <v>11</v>
      </c>
      <c r="C140" s="1" t="s">
        <v>239</v>
      </c>
      <c r="D140" s="1" t="s">
        <v>56</v>
      </c>
      <c r="E140" s="4" t="s">
        <v>49</v>
      </c>
      <c r="F140" s="4"/>
      <c r="G140" s="1" t="s">
        <v>40</v>
      </c>
      <c r="H140" s="1" t="s">
        <v>59</v>
      </c>
      <c r="I140" s="1" t="s">
        <v>56</v>
      </c>
      <c r="J140" t="str">
        <f t="shared" si="13"/>
        <v>, LST_UPD_DTTI TIMESTAMP NOT NULL DEFAULT NOW() COMMENT '최종수정일시'</v>
      </c>
    </row>
    <row r="141" spans="2:10" x14ac:dyDescent="0.4">
      <c r="J141" t="str">
        <f>_xlfn.CONCAT(") COMMENT '",E127,"';")</f>
        <v>) COMMENT 'AI툴결과';</v>
      </c>
    </row>
    <row r="142" spans="2:10" x14ac:dyDescent="0.4">
      <c r="B142" s="10" t="s">
        <v>28</v>
      </c>
      <c r="C142" s="11"/>
      <c r="D142" s="11"/>
      <c r="E142" s="11"/>
      <c r="F142" s="11"/>
      <c r="G142" s="11"/>
      <c r="H142" s="11"/>
      <c r="I142" s="12"/>
    </row>
    <row r="143" spans="2:10" x14ac:dyDescent="0.4">
      <c r="B143" s="5" t="s">
        <v>1</v>
      </c>
      <c r="C143" s="4" t="s">
        <v>361</v>
      </c>
      <c r="D143" s="5" t="s">
        <v>3</v>
      </c>
      <c r="E143" s="4" t="s">
        <v>362</v>
      </c>
      <c r="F143" s="5" t="s">
        <v>29</v>
      </c>
      <c r="G143" s="4" t="s">
        <v>38</v>
      </c>
      <c r="H143" s="5" t="s">
        <v>30</v>
      </c>
      <c r="I143" s="6">
        <v>46022</v>
      </c>
      <c r="J143" t="str">
        <f>_xlfn.CONCAT("DROP TABLE IF EXISTS ",C143,";")</f>
        <v>DROP TABLE IF EXISTS tb_ai_event;</v>
      </c>
    </row>
    <row r="144" spans="2:10" x14ac:dyDescent="0.4">
      <c r="B144" s="5" t="s">
        <v>31</v>
      </c>
      <c r="C144" s="13" t="s">
        <v>363</v>
      </c>
      <c r="D144" s="13"/>
      <c r="E144" s="13"/>
      <c r="F144" s="13"/>
      <c r="G144" s="13"/>
      <c r="H144" s="13"/>
      <c r="I144" s="13"/>
      <c r="J144" t="str">
        <f>_xlfn.CONCAT("CREATE TABLE ",C143)</f>
        <v>CREATE TABLE tb_ai_event</v>
      </c>
    </row>
    <row r="145" spans="2:10" x14ac:dyDescent="0.4">
      <c r="B145" s="5" t="s">
        <v>32</v>
      </c>
      <c r="C145" s="5" t="s">
        <v>1</v>
      </c>
      <c r="D145" s="5" t="s">
        <v>3</v>
      </c>
      <c r="E145" s="5" t="s">
        <v>33</v>
      </c>
      <c r="F145" s="5" t="s">
        <v>34</v>
      </c>
      <c r="G145" s="5" t="s">
        <v>35</v>
      </c>
      <c r="H145" s="5" t="s">
        <v>22</v>
      </c>
      <c r="I145" s="5" t="s">
        <v>36</v>
      </c>
      <c r="J145" t="str">
        <f>_xlfn.CONCAT("(")</f>
        <v>(</v>
      </c>
    </row>
    <row r="146" spans="2:10" x14ac:dyDescent="0.4">
      <c r="B146" s="4">
        <v>1</v>
      </c>
      <c r="C146" s="1" t="s">
        <v>364</v>
      </c>
      <c r="D146" s="1" t="s">
        <v>365</v>
      </c>
      <c r="E146" s="4" t="s">
        <v>283</v>
      </c>
      <c r="F146" s="4">
        <v>1</v>
      </c>
      <c r="G146" s="1" t="s">
        <v>40</v>
      </c>
      <c r="H146" s="1" t="s">
        <v>194</v>
      </c>
      <c r="I146" s="1" t="s">
        <v>365</v>
      </c>
      <c r="J146" t="str">
        <f>_xlfn.CONCAT(IF(B146=1,"",", "),C146," ",E146," ",G146,_xlfn.IFS(H146="","",H146="AUTO_INCREMENT"," AUTO_INCREMENT PRIMARY KEY",TRUE,_xlfn.CONCAT(" DEFAULT"," ",H146)), " COMMENT '",I146,"'")</f>
        <v>EVENT_ID BIGINT NOT NULL AUTO_INCREMENT PRIMARY KEY COMMENT '이벤트ID'</v>
      </c>
    </row>
    <row r="147" spans="2:10" x14ac:dyDescent="0.4">
      <c r="B147" s="4">
        <v>2</v>
      </c>
      <c r="C147" s="1" t="s">
        <v>302</v>
      </c>
      <c r="D147" s="1" t="s">
        <v>303</v>
      </c>
      <c r="E147" s="4" t="s">
        <v>283</v>
      </c>
      <c r="F147" s="4"/>
      <c r="G147" s="1" t="s">
        <v>43</v>
      </c>
      <c r="H147" s="1"/>
      <c r="I147" s="1" t="s">
        <v>303</v>
      </c>
      <c r="J147" t="str">
        <f t="shared" ref="J147:J151" si="14">_xlfn.CONCAT(IF(B147=1,"",", "),C147," ",E147," ",G147,_xlfn.IFS(H147="","",H147="AUTO_INCREMENT"," AUTO_INCREMENT PRIMARY KEY",TRUE,_xlfn.CONCAT(" DEFAULT"," ",H147)), " COMMENT '",I147,"'")</f>
        <v>, TURN_ID BIGINT NULL COMMENT '턴ID'</v>
      </c>
    </row>
    <row r="148" spans="2:10" x14ac:dyDescent="0.4">
      <c r="B148" s="4">
        <v>3</v>
      </c>
      <c r="C148" s="1" t="s">
        <v>366</v>
      </c>
      <c r="D148" s="1" t="s">
        <v>367</v>
      </c>
      <c r="E148" s="4" t="s">
        <v>173</v>
      </c>
      <c r="F148" s="4"/>
      <c r="G148" s="1" t="s">
        <v>43</v>
      </c>
      <c r="H148" s="1"/>
      <c r="I148" s="1" t="s">
        <v>368</v>
      </c>
      <c r="J148" t="str">
        <f t="shared" si="14"/>
        <v>, SEQ_NO INT NULL COMMENT '시퀀스번호(turn 내 순서)'</v>
      </c>
    </row>
    <row r="149" spans="2:10" x14ac:dyDescent="0.4">
      <c r="B149" s="4">
        <v>4</v>
      </c>
      <c r="C149" s="1" t="s">
        <v>369</v>
      </c>
      <c r="D149" s="1" t="s">
        <v>370</v>
      </c>
      <c r="E149" s="4" t="s">
        <v>25</v>
      </c>
      <c r="F149" s="4"/>
      <c r="G149" s="1" t="s">
        <v>43</v>
      </c>
      <c r="H149" s="1"/>
      <c r="I149" s="1" t="s">
        <v>371</v>
      </c>
      <c r="J149" t="str">
        <f t="shared" si="14"/>
        <v>, EVENT_TYPE VARCHAR(30) NULL COMMENT '이벤트타입(USER_MSG / ASSIST_MSG / TOOL_CALL / TOOL_OUTPUT)'</v>
      </c>
    </row>
    <row r="150" spans="2:10" x14ac:dyDescent="0.4">
      <c r="B150" s="4">
        <v>5</v>
      </c>
      <c r="C150" s="1" t="s">
        <v>372</v>
      </c>
      <c r="D150" s="1" t="s">
        <v>373</v>
      </c>
      <c r="E150" s="4" t="s">
        <v>46</v>
      </c>
      <c r="F150" s="4"/>
      <c r="G150" s="1" t="s">
        <v>43</v>
      </c>
      <c r="H150" s="1"/>
      <c r="I150" s="1" t="s">
        <v>374</v>
      </c>
      <c r="J150" t="str">
        <f t="shared" si="14"/>
        <v>, ROLE VARCHAR(20) NULL COMMENT '롤(user/assistant/tool)'</v>
      </c>
    </row>
    <row r="151" spans="2:10" x14ac:dyDescent="0.4">
      <c r="B151" s="4">
        <v>6</v>
      </c>
      <c r="C151" s="1" t="s">
        <v>335</v>
      </c>
      <c r="D151" s="1" t="s">
        <v>336</v>
      </c>
      <c r="E151" s="4" t="s">
        <v>105</v>
      </c>
      <c r="F151" s="4"/>
      <c r="G151" s="1" t="s">
        <v>43</v>
      </c>
      <c r="H151" s="1"/>
      <c r="I151" s="1" t="s">
        <v>336</v>
      </c>
      <c r="J151" t="str">
        <f t="shared" si="14"/>
        <v>, TOOL_NM VARCHAR(100) NULL COMMENT '툴이름'</v>
      </c>
    </row>
    <row r="152" spans="2:10" x14ac:dyDescent="0.4">
      <c r="B152" s="4">
        <v>7</v>
      </c>
      <c r="C152" s="1" t="s">
        <v>333</v>
      </c>
      <c r="D152" s="1" t="s">
        <v>334</v>
      </c>
      <c r="E152" s="4" t="s">
        <v>105</v>
      </c>
      <c r="F152" s="4"/>
      <c r="G152" s="1" t="s">
        <v>43</v>
      </c>
      <c r="H152" s="1"/>
      <c r="I152" s="1" t="s">
        <v>375</v>
      </c>
      <c r="J152" t="str">
        <f>_xlfn.CONCAT(IF(B152=1,"",", "),C152," ",E152," ",G152,_xlfn.IFS(H152="","",H152="AUTO_INCREMENT"," AUTO_INCREMENT PRIMARY KEY",TRUE,_xlfn.CONCAT(" DEFAULT"," ",H152)), " COMMENT '",I152,"'")</f>
        <v>, CALL_ID VARCHAR(100) NULL COMMENT '호출ID(fc.callId())'</v>
      </c>
    </row>
    <row r="153" spans="2:10" x14ac:dyDescent="0.4">
      <c r="B153" s="4">
        <v>8</v>
      </c>
      <c r="C153" s="1" t="s">
        <v>376</v>
      </c>
      <c r="D153" s="1" t="s">
        <v>378</v>
      </c>
      <c r="E153" s="4" t="s">
        <v>313</v>
      </c>
      <c r="F153" s="4"/>
      <c r="G153" s="1" t="s">
        <v>43</v>
      </c>
      <c r="H153" s="7"/>
      <c r="I153" s="1" t="s">
        <v>378</v>
      </c>
      <c r="J153" t="str">
        <f>_xlfn.CONCAT(IF(B153=1,"",", "),C153," ",E153," ",G153,_xlfn.IFS(H153="","",H153="AUTO_INCREMENT"," AUTO_INCREMENT PRIMARY KEY",TRUE,_xlfn.CONCAT(" DEFAULT"," ",H153)), " COMMENT '",I153,"'")</f>
        <v>, CONTENT_TEXT MEDIUMTEXT NULL COMMENT '메시지 텍스트'</v>
      </c>
    </row>
    <row r="154" spans="2:10" x14ac:dyDescent="0.4">
      <c r="B154" s="4">
        <v>9</v>
      </c>
      <c r="C154" s="1" t="s">
        <v>377</v>
      </c>
      <c r="D154" s="1" t="s">
        <v>379</v>
      </c>
      <c r="E154" s="4" t="s">
        <v>338</v>
      </c>
      <c r="F154" s="4"/>
      <c r="G154" s="1" t="s">
        <v>43</v>
      </c>
      <c r="H154" s="7"/>
      <c r="I154" s="1" t="s">
        <v>380</v>
      </c>
      <c r="J154" t="str">
        <f>_xlfn.CONCAT(IF(B154=1,"",", "),C154," ",E154," ",G154,_xlfn.IFS(H154="","",H154="AUTO_INCREMENT"," AUTO_INCREMENT PRIMARY KEY",TRUE,_xlfn.CONCAT(" DEFAULT"," ",H154)), " COMMENT '",I154,"'")</f>
        <v>, CONTENT_JSON JSON NULL COMMENT '메시지 JSON(args/result/raw payload)'</v>
      </c>
    </row>
    <row r="155" spans="2:10" x14ac:dyDescent="0.4">
      <c r="B155" s="4">
        <v>10</v>
      </c>
      <c r="C155" s="1" t="s">
        <v>195</v>
      </c>
      <c r="D155" s="1" t="s">
        <v>215</v>
      </c>
      <c r="E155" s="4" t="s">
        <v>173</v>
      </c>
      <c r="F155" s="4"/>
      <c r="G155" s="1" t="s">
        <v>40</v>
      </c>
      <c r="H155" s="1" t="s">
        <v>58</v>
      </c>
      <c r="I155" s="1" t="s">
        <v>197</v>
      </c>
      <c r="J155" t="str">
        <f t="shared" ref="J155:J158" si="15">_xlfn.CONCAT(IF(B155=1,"",", "),C155," ",E155," ",G155,_xlfn.IFS(H155="","",H155="AUTO_INCREMENT"," AUTO_INCREMENT PRIMARY KEY",TRUE,_xlfn.CONCAT(" DEFAULT"," ",H155)), " COMMENT '",I155,"'")</f>
        <v>, FST_REG_SEQ INT NOT NULL COMMENT '최초등록자일련번호'</v>
      </c>
    </row>
    <row r="156" spans="2:10" x14ac:dyDescent="0.4">
      <c r="B156" s="4">
        <v>11</v>
      </c>
      <c r="C156" s="1" t="s">
        <v>50</v>
      </c>
      <c r="D156" s="1" t="s">
        <v>55</v>
      </c>
      <c r="E156" s="4" t="s">
        <v>49</v>
      </c>
      <c r="F156" s="4"/>
      <c r="G156" s="1" t="s">
        <v>40</v>
      </c>
      <c r="H156" s="1" t="s">
        <v>59</v>
      </c>
      <c r="I156" s="1" t="s">
        <v>55</v>
      </c>
      <c r="J156" t="str">
        <f t="shared" si="15"/>
        <v>, FST_REG_DTTI TIMESTAMP NOT NULL DEFAULT NOW() COMMENT '최초등록일시'</v>
      </c>
    </row>
    <row r="157" spans="2:10" x14ac:dyDescent="0.4">
      <c r="B157" s="4">
        <v>12</v>
      </c>
      <c r="C157" s="1" t="s">
        <v>241</v>
      </c>
      <c r="D157" s="1" t="s">
        <v>198</v>
      </c>
      <c r="E157" s="4" t="s">
        <v>173</v>
      </c>
      <c r="F157" s="4"/>
      <c r="G157" s="1" t="s">
        <v>40</v>
      </c>
      <c r="H157" s="1" t="s">
        <v>58</v>
      </c>
      <c r="I157" s="1" t="s">
        <v>198</v>
      </c>
      <c r="J157" t="str">
        <f t="shared" si="15"/>
        <v>, LST_UPD_SEQ INT NOT NULL COMMENT '최종수정자일련번호'</v>
      </c>
    </row>
    <row r="158" spans="2:10" x14ac:dyDescent="0.4">
      <c r="B158" s="4">
        <v>13</v>
      </c>
      <c r="C158" s="1" t="s">
        <v>239</v>
      </c>
      <c r="D158" s="1" t="s">
        <v>56</v>
      </c>
      <c r="E158" s="4" t="s">
        <v>49</v>
      </c>
      <c r="F158" s="4"/>
      <c r="G158" s="1" t="s">
        <v>40</v>
      </c>
      <c r="H158" s="1" t="s">
        <v>59</v>
      </c>
      <c r="I158" s="1" t="s">
        <v>56</v>
      </c>
      <c r="J158" t="str">
        <f t="shared" si="15"/>
        <v>, LST_UPD_DTTI TIMESTAMP NOT NULL DEFAULT NOW() COMMENT '최종수정일시'</v>
      </c>
    </row>
    <row r="159" spans="2:10" x14ac:dyDescent="0.4">
      <c r="J159" t="str">
        <f>_xlfn.CONCAT(") COMMENT '",E143,"';")</f>
        <v>) COMMENT 'AI이벤트';</v>
      </c>
    </row>
    <row r="160" spans="2:10" x14ac:dyDescent="0.4">
      <c r="B160" s="10" t="s">
        <v>28</v>
      </c>
      <c r="C160" s="11"/>
      <c r="D160" s="11"/>
      <c r="E160" s="11"/>
      <c r="F160" s="11"/>
      <c r="G160" s="11"/>
      <c r="H160" s="11"/>
      <c r="I160" s="12"/>
    </row>
    <row r="161" spans="2:10" x14ac:dyDescent="0.4">
      <c r="B161" s="5" t="s">
        <v>1</v>
      </c>
      <c r="C161" s="4" t="s">
        <v>387</v>
      </c>
      <c r="D161" s="5" t="s">
        <v>3</v>
      </c>
      <c r="E161" s="4" t="s">
        <v>388</v>
      </c>
      <c r="F161" s="5" t="s">
        <v>29</v>
      </c>
      <c r="G161" s="4" t="s">
        <v>38</v>
      </c>
      <c r="H161" s="5" t="s">
        <v>30</v>
      </c>
      <c r="I161" s="6">
        <v>46022</v>
      </c>
      <c r="J161" t="str">
        <f>_xlfn.CONCAT("DROP TABLE IF EXISTS ",C161,";")</f>
        <v>DROP TABLE IF EXISTS tb_manual;</v>
      </c>
    </row>
    <row r="162" spans="2:10" x14ac:dyDescent="0.4">
      <c r="B162" s="5" t="s">
        <v>31</v>
      </c>
      <c r="C162" s="13" t="s">
        <v>389</v>
      </c>
      <c r="D162" s="13"/>
      <c r="E162" s="13"/>
      <c r="F162" s="13"/>
      <c r="G162" s="13"/>
      <c r="H162" s="13"/>
      <c r="I162" s="13"/>
      <c r="J162" t="str">
        <f>_xlfn.CONCAT("CREATE TABLE ",C161)</f>
        <v>CREATE TABLE tb_manual</v>
      </c>
    </row>
    <row r="163" spans="2:10" x14ac:dyDescent="0.4">
      <c r="B163" s="5" t="s">
        <v>32</v>
      </c>
      <c r="C163" s="5" t="s">
        <v>1</v>
      </c>
      <c r="D163" s="5" t="s">
        <v>3</v>
      </c>
      <c r="E163" s="5" t="s">
        <v>33</v>
      </c>
      <c r="F163" s="5" t="s">
        <v>34</v>
      </c>
      <c r="G163" s="5" t="s">
        <v>35</v>
      </c>
      <c r="H163" s="5" t="s">
        <v>22</v>
      </c>
      <c r="I163" s="5" t="s">
        <v>36</v>
      </c>
      <c r="J163" t="str">
        <f>_xlfn.CONCAT("(")</f>
        <v>(</v>
      </c>
    </row>
    <row r="164" spans="2:10" x14ac:dyDescent="0.4">
      <c r="B164" s="4">
        <v>1</v>
      </c>
      <c r="C164" s="1" t="s">
        <v>390</v>
      </c>
      <c r="D164" s="1" t="s">
        <v>391</v>
      </c>
      <c r="E164" s="4" t="s">
        <v>283</v>
      </c>
      <c r="F164" s="4">
        <v>1</v>
      </c>
      <c r="G164" s="1" t="s">
        <v>40</v>
      </c>
      <c r="H164" s="1" t="s">
        <v>194</v>
      </c>
      <c r="I164" s="1" t="s">
        <v>391</v>
      </c>
      <c r="J164" t="str">
        <f>_xlfn.CONCAT(IF(B164=1,"",", "),C164," ",E164," ",G164,_xlfn.IFS(H164="","",H164="AUTO_INCREMENT"," AUTO_INCREMENT PRIMARY KEY",TRUE,_xlfn.CONCAT(" DEFAULT"," ",H164)), " COMMENT '",I164,"'")</f>
        <v>MANUAL_SEQ BIGINT NOT NULL AUTO_INCREMENT PRIMARY KEY COMMENT '매뉴얼일련번호'</v>
      </c>
    </row>
    <row r="165" spans="2:10" x14ac:dyDescent="0.4">
      <c r="B165" s="4">
        <v>2</v>
      </c>
      <c r="C165" s="1" t="s">
        <v>392</v>
      </c>
      <c r="D165" s="1" t="s">
        <v>393</v>
      </c>
      <c r="E165" s="4" t="s">
        <v>151</v>
      </c>
      <c r="F165" s="4"/>
      <c r="G165" s="1" t="s">
        <v>43</v>
      </c>
      <c r="H165" s="1"/>
      <c r="I165" s="1" t="s">
        <v>393</v>
      </c>
      <c r="J165" t="str">
        <f t="shared" ref="J165:J168" si="16">_xlfn.CONCAT(IF(B165=1,"",", "),C165," ",E165," ",G165,_xlfn.IFS(H165="","",H165="AUTO_INCREMENT"," AUTO_INCREMENT PRIMARY KEY",TRUE,_xlfn.CONCAT(" DEFAULT"," ",H165)), " COMMENT '",I165,"'")</f>
        <v>, MANUAL_TITLE VARCHAR(300) NULL COMMENT '매뉴얼제목'</v>
      </c>
    </row>
    <row r="166" spans="2:10" x14ac:dyDescent="0.4">
      <c r="B166" s="4">
        <v>3</v>
      </c>
      <c r="C166" s="1" t="s">
        <v>395</v>
      </c>
      <c r="D166" s="1" t="s">
        <v>394</v>
      </c>
      <c r="E166" s="4" t="s">
        <v>308</v>
      </c>
      <c r="F166" s="4"/>
      <c r="G166" s="1" t="s">
        <v>43</v>
      </c>
      <c r="H166" s="1"/>
      <c r="I166" s="1" t="s">
        <v>394</v>
      </c>
      <c r="J166" t="str">
        <f t="shared" si="16"/>
        <v>, MANUAL_CONTENT TEXT NULL COMMENT '매뉴얼내용'</v>
      </c>
    </row>
    <row r="167" spans="2:10" x14ac:dyDescent="0.4">
      <c r="B167" s="4">
        <v>4</v>
      </c>
      <c r="C167" s="1" t="s">
        <v>396</v>
      </c>
      <c r="D167" s="1" t="s">
        <v>397</v>
      </c>
      <c r="E167" s="4" t="s">
        <v>398</v>
      </c>
      <c r="F167" s="4"/>
      <c r="G167" s="1" t="s">
        <v>43</v>
      </c>
      <c r="H167" s="1"/>
      <c r="I167" s="1" t="s">
        <v>399</v>
      </c>
      <c r="J167" t="str">
        <f t="shared" si="16"/>
        <v>, MANUAL_DVCD VARCHAR(2) NULL COMMENT '매뉴얼구분코드(01: 마켓, 02: 정보, 99:기타)'</v>
      </c>
    </row>
    <row r="168" spans="2:10" x14ac:dyDescent="0.4">
      <c r="B168" s="4">
        <v>5</v>
      </c>
      <c r="C168" s="1" t="s">
        <v>167</v>
      </c>
      <c r="D168" s="1" t="s">
        <v>168</v>
      </c>
      <c r="E168" s="4" t="s">
        <v>169</v>
      </c>
      <c r="F168" s="4"/>
      <c r="G168" s="1" t="s">
        <v>43</v>
      </c>
      <c r="H168" s="7" t="s">
        <v>170</v>
      </c>
      <c r="I168" s="1" t="s">
        <v>168</v>
      </c>
      <c r="J168" t="str">
        <f t="shared" si="16"/>
        <v>, USE_YN VARCHAR(1) NULL DEFAULT 'Y' COMMENT '사용여부'</v>
      </c>
    </row>
    <row r="169" spans="2:10" x14ac:dyDescent="0.4">
      <c r="B169" s="4">
        <v>6</v>
      </c>
      <c r="C169" s="1" t="s">
        <v>195</v>
      </c>
      <c r="D169" s="1" t="s">
        <v>215</v>
      </c>
      <c r="E169" s="4" t="s">
        <v>173</v>
      </c>
      <c r="F169" s="4"/>
      <c r="G169" s="1" t="s">
        <v>40</v>
      </c>
      <c r="H169" s="1" t="s">
        <v>58</v>
      </c>
      <c r="I169" s="1" t="s">
        <v>197</v>
      </c>
      <c r="J169" t="str">
        <f t="shared" ref="J169:J172" si="17">_xlfn.CONCAT(IF(B169=1,"",", "),C169," ",E169," ",G169,_xlfn.IFS(H169="","",H169="AUTO_INCREMENT"," AUTO_INCREMENT PRIMARY KEY",TRUE,_xlfn.CONCAT(" DEFAULT"," ",H169)), " COMMENT '",I169,"'")</f>
        <v>, FST_REG_SEQ INT NOT NULL COMMENT '최초등록자일련번호'</v>
      </c>
    </row>
    <row r="170" spans="2:10" x14ac:dyDescent="0.4">
      <c r="B170" s="4">
        <v>7</v>
      </c>
      <c r="C170" s="1" t="s">
        <v>50</v>
      </c>
      <c r="D170" s="1" t="s">
        <v>55</v>
      </c>
      <c r="E170" s="4" t="s">
        <v>49</v>
      </c>
      <c r="F170" s="4"/>
      <c r="G170" s="1" t="s">
        <v>40</v>
      </c>
      <c r="H170" s="1" t="s">
        <v>59</v>
      </c>
      <c r="I170" s="1" t="s">
        <v>55</v>
      </c>
      <c r="J170" t="str">
        <f t="shared" si="17"/>
        <v>, FST_REG_DTTI TIMESTAMP NOT NULL DEFAULT NOW() COMMENT '최초등록일시'</v>
      </c>
    </row>
    <row r="171" spans="2:10" x14ac:dyDescent="0.4">
      <c r="B171" s="4">
        <v>8</v>
      </c>
      <c r="C171" s="1" t="s">
        <v>241</v>
      </c>
      <c r="D171" s="1" t="s">
        <v>198</v>
      </c>
      <c r="E171" s="4" t="s">
        <v>173</v>
      </c>
      <c r="F171" s="4"/>
      <c r="G171" s="1" t="s">
        <v>40</v>
      </c>
      <c r="H171" s="1" t="s">
        <v>58</v>
      </c>
      <c r="I171" s="1" t="s">
        <v>198</v>
      </c>
      <c r="J171" t="str">
        <f t="shared" si="17"/>
        <v>, LST_UPD_SEQ INT NOT NULL COMMENT '최종수정자일련번호'</v>
      </c>
    </row>
    <row r="172" spans="2:10" x14ac:dyDescent="0.4">
      <c r="B172" s="4">
        <v>9</v>
      </c>
      <c r="C172" s="1" t="s">
        <v>239</v>
      </c>
      <c r="D172" s="1" t="s">
        <v>56</v>
      </c>
      <c r="E172" s="4" t="s">
        <v>49</v>
      </c>
      <c r="F172" s="4"/>
      <c r="G172" s="1" t="s">
        <v>40</v>
      </c>
      <c r="H172" s="1" t="s">
        <v>59</v>
      </c>
      <c r="I172" s="1" t="s">
        <v>56</v>
      </c>
      <c r="J172" t="str">
        <f t="shared" si="17"/>
        <v>, LST_UPD_DTTI TIMESTAMP NOT NULL DEFAULT NOW() COMMENT '최종수정일시'</v>
      </c>
    </row>
    <row r="173" spans="2:10" x14ac:dyDescent="0.4">
      <c r="J173" t="str">
        <f>_xlfn.CONCAT(") COMMENT '",E161,"';")</f>
        <v>) COMMENT '매뉴얼';</v>
      </c>
    </row>
  </sheetData>
  <mergeCells count="26">
    <mergeCell ref="C56:I56"/>
    <mergeCell ref="B2:I2"/>
    <mergeCell ref="C4:I4"/>
    <mergeCell ref="B21:I21"/>
    <mergeCell ref="C23:I23"/>
    <mergeCell ref="B54:I54"/>
    <mergeCell ref="B37:I37"/>
    <mergeCell ref="C39:I39"/>
    <mergeCell ref="C33:E33"/>
    <mergeCell ref="F33:I33"/>
    <mergeCell ref="C34:E34"/>
    <mergeCell ref="F34:I34"/>
    <mergeCell ref="C35:E35"/>
    <mergeCell ref="F35:I35"/>
    <mergeCell ref="B73:I73"/>
    <mergeCell ref="C75:I75"/>
    <mergeCell ref="B87:I87"/>
    <mergeCell ref="C89:I89"/>
    <mergeCell ref="B108:I108"/>
    <mergeCell ref="B160:I160"/>
    <mergeCell ref="C162:I162"/>
    <mergeCell ref="C110:I110"/>
    <mergeCell ref="B126:I126"/>
    <mergeCell ref="C128:I128"/>
    <mergeCell ref="B142:I142"/>
    <mergeCell ref="C144:I14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9C8C-0933-46B2-8E0D-87FBB4FA36A4}">
  <dimension ref="B2:G11"/>
  <sheetViews>
    <sheetView workbookViewId="0">
      <selection activeCell="E16" sqref="E16"/>
    </sheetView>
  </sheetViews>
  <sheetFormatPr defaultRowHeight="17.399999999999999" x14ac:dyDescent="0.4"/>
  <cols>
    <col min="1" max="1" width="3.5" customWidth="1"/>
    <col min="2" max="2" width="9.59765625" bestFit="1" customWidth="1"/>
    <col min="3" max="3" width="8.3984375" bestFit="1" customWidth="1"/>
    <col min="4" max="4" width="10.3984375" bestFit="1" customWidth="1"/>
    <col min="5" max="5" width="33.19921875" bestFit="1" customWidth="1"/>
    <col min="6" max="6" width="16" bestFit="1" customWidth="1"/>
    <col min="7" max="7" width="7.3984375" bestFit="1" customWidth="1"/>
  </cols>
  <sheetData>
    <row r="2" spans="2:7" x14ac:dyDescent="0.4">
      <c r="B2" s="2" t="s">
        <v>17</v>
      </c>
      <c r="C2" s="2" t="s">
        <v>1</v>
      </c>
      <c r="D2" s="2" t="s">
        <v>3</v>
      </c>
      <c r="E2" s="2" t="s">
        <v>0</v>
      </c>
      <c r="F2" s="2" t="s">
        <v>19</v>
      </c>
      <c r="G2" s="2" t="s">
        <v>22</v>
      </c>
    </row>
    <row r="3" spans="2:7" x14ac:dyDescent="0.4">
      <c r="B3" s="1" t="s">
        <v>18</v>
      </c>
      <c r="C3" s="1" t="s">
        <v>2</v>
      </c>
      <c r="D3" s="1" t="s">
        <v>5</v>
      </c>
      <c r="E3" s="1" t="s">
        <v>4</v>
      </c>
      <c r="F3" s="4" t="s">
        <v>20</v>
      </c>
      <c r="G3" s="1"/>
    </row>
    <row r="4" spans="2:7" x14ac:dyDescent="0.4">
      <c r="B4" s="1" t="s">
        <v>18</v>
      </c>
      <c r="C4" s="1" t="s">
        <v>6</v>
      </c>
      <c r="D4" s="1" t="s">
        <v>7</v>
      </c>
      <c r="E4" s="1" t="s">
        <v>8</v>
      </c>
      <c r="F4" s="4" t="s">
        <v>21</v>
      </c>
      <c r="G4" s="1" t="s">
        <v>27</v>
      </c>
    </row>
    <row r="5" spans="2:7" x14ac:dyDescent="0.4">
      <c r="B5" s="1" t="s">
        <v>18</v>
      </c>
      <c r="C5" s="1" t="s">
        <v>15</v>
      </c>
      <c r="D5" s="1" t="s">
        <v>87</v>
      </c>
      <c r="E5" s="1" t="s">
        <v>16</v>
      </c>
      <c r="F5" s="4" t="s">
        <v>23</v>
      </c>
      <c r="G5" s="1"/>
    </row>
    <row r="6" spans="2:7" x14ac:dyDescent="0.4">
      <c r="B6" s="1" t="s">
        <v>26</v>
      </c>
      <c r="C6" s="1" t="s">
        <v>10</v>
      </c>
      <c r="D6" s="1" t="s">
        <v>88</v>
      </c>
      <c r="E6" s="1" t="s">
        <v>12</v>
      </c>
      <c r="F6" s="4" t="s">
        <v>24</v>
      </c>
      <c r="G6" s="1"/>
    </row>
    <row r="7" spans="2:7" x14ac:dyDescent="0.4">
      <c r="B7" s="1" t="s">
        <v>26</v>
      </c>
      <c r="C7" s="1" t="s">
        <v>9</v>
      </c>
      <c r="D7" s="1" t="s">
        <v>89</v>
      </c>
      <c r="E7" s="1" t="s">
        <v>11</v>
      </c>
      <c r="F7" s="4" t="s">
        <v>24</v>
      </c>
      <c r="G7" s="1"/>
    </row>
    <row r="8" spans="2:7" x14ac:dyDescent="0.4">
      <c r="B8" s="1" t="s">
        <v>26</v>
      </c>
      <c r="C8" s="1" t="s">
        <v>13</v>
      </c>
      <c r="D8" s="1" t="s">
        <v>90</v>
      </c>
      <c r="E8" s="1" t="s">
        <v>14</v>
      </c>
      <c r="F8" s="4" t="s">
        <v>24</v>
      </c>
      <c r="G8" s="1"/>
    </row>
    <row r="9" spans="2:7" x14ac:dyDescent="0.4">
      <c r="B9" s="1" t="s">
        <v>26</v>
      </c>
      <c r="C9" s="1" t="s">
        <v>69</v>
      </c>
      <c r="D9" s="1" t="s">
        <v>91</v>
      </c>
      <c r="E9" s="1" t="s">
        <v>70</v>
      </c>
      <c r="F9" s="4" t="s">
        <v>92</v>
      </c>
      <c r="G9" s="1"/>
    </row>
    <row r="10" spans="2:7" x14ac:dyDescent="0.4">
      <c r="B10" s="1" t="s">
        <v>26</v>
      </c>
      <c r="C10" s="1" t="s">
        <v>121</v>
      </c>
      <c r="D10" s="1" t="s">
        <v>122</v>
      </c>
      <c r="E10" s="1" t="s">
        <v>123</v>
      </c>
      <c r="F10" s="4" t="s">
        <v>124</v>
      </c>
      <c r="G10" s="1"/>
    </row>
    <row r="11" spans="2:7" x14ac:dyDescent="0.4">
      <c r="B11" s="1" t="s">
        <v>26</v>
      </c>
      <c r="C11" s="1" t="s">
        <v>148</v>
      </c>
      <c r="D11" s="1" t="s">
        <v>149</v>
      </c>
      <c r="E11" s="1" t="s">
        <v>150</v>
      </c>
      <c r="F11" s="1"/>
      <c r="G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FE83-09A3-4666-B769-BFA7D2CD17A7}">
  <sheetPr>
    <pageSetUpPr fitToPage="1"/>
  </sheetPr>
  <dimension ref="B2:I352"/>
  <sheetViews>
    <sheetView tabSelected="1" zoomScale="55" zoomScaleNormal="55" workbookViewId="0">
      <selection activeCell="K335" sqref="K335"/>
    </sheetView>
  </sheetViews>
  <sheetFormatPr defaultRowHeight="17.399999999999999" x14ac:dyDescent="0.4"/>
  <cols>
    <col min="1" max="1" width="3.09765625" customWidth="1"/>
    <col min="2" max="2" width="11.09765625" bestFit="1" customWidth="1"/>
    <col min="3" max="3" width="20.8984375" bestFit="1" customWidth="1"/>
    <col min="4" max="4" width="20.19921875" bestFit="1" customWidth="1"/>
    <col min="5" max="5" width="20" bestFit="1" customWidth="1"/>
    <col min="6" max="6" width="6.796875" bestFit="1" customWidth="1"/>
    <col min="7" max="7" width="14.69921875" bestFit="1" customWidth="1"/>
    <col min="8" max="8" width="17.69921875" bestFit="1" customWidth="1"/>
    <col min="9" max="9" width="81.296875" bestFit="1" customWidth="1"/>
  </cols>
  <sheetData>
    <row r="2" spans="2:9" x14ac:dyDescent="0.4">
      <c r="B2" s="10" t="s">
        <v>28</v>
      </c>
      <c r="C2" s="11"/>
      <c r="D2" s="11"/>
      <c r="E2" s="11"/>
      <c r="F2" s="11"/>
      <c r="G2" s="11"/>
      <c r="H2" s="11"/>
      <c r="I2" s="12"/>
    </row>
    <row r="3" spans="2:9" x14ac:dyDescent="0.4">
      <c r="B3" s="5" t="s">
        <v>1</v>
      </c>
      <c r="C3" s="4" t="s">
        <v>260</v>
      </c>
      <c r="D3" s="5" t="s">
        <v>3</v>
      </c>
      <c r="E3" s="4" t="s">
        <v>37</v>
      </c>
      <c r="F3" s="5" t="s">
        <v>29</v>
      </c>
      <c r="G3" s="4" t="s">
        <v>38</v>
      </c>
      <c r="H3" s="5" t="s">
        <v>30</v>
      </c>
      <c r="I3" s="6">
        <v>44942</v>
      </c>
    </row>
    <row r="4" spans="2:9" x14ac:dyDescent="0.4">
      <c r="B4" s="5" t="s">
        <v>31</v>
      </c>
      <c r="C4" s="13" t="s">
        <v>39</v>
      </c>
      <c r="D4" s="13"/>
      <c r="E4" s="13"/>
      <c r="F4" s="13"/>
      <c r="G4" s="13"/>
      <c r="H4" s="13"/>
      <c r="I4" s="13"/>
    </row>
    <row r="5" spans="2:9" x14ac:dyDescent="0.4">
      <c r="B5" s="5" t="s">
        <v>32</v>
      </c>
      <c r="C5" s="5" t="s">
        <v>1</v>
      </c>
      <c r="D5" s="5" t="s">
        <v>3</v>
      </c>
      <c r="E5" s="5" t="s">
        <v>33</v>
      </c>
      <c r="F5" s="5" t="s">
        <v>34</v>
      </c>
      <c r="G5" s="5" t="s">
        <v>35</v>
      </c>
      <c r="H5" s="5" t="s">
        <v>22</v>
      </c>
      <c r="I5" s="5" t="s">
        <v>36</v>
      </c>
    </row>
    <row r="6" spans="2:9" x14ac:dyDescent="0.4">
      <c r="B6" s="4">
        <v>1</v>
      </c>
      <c r="C6" s="1" t="s">
        <v>192</v>
      </c>
      <c r="D6" s="1" t="s">
        <v>193</v>
      </c>
      <c r="E6" s="4" t="s">
        <v>173</v>
      </c>
      <c r="F6" s="4">
        <v>1</v>
      </c>
      <c r="G6" s="1" t="s">
        <v>41</v>
      </c>
      <c r="H6" s="1" t="s">
        <v>194</v>
      </c>
      <c r="I6" s="1" t="s">
        <v>193</v>
      </c>
    </row>
    <row r="7" spans="2:9" x14ac:dyDescent="0.4">
      <c r="B7" s="4">
        <v>2</v>
      </c>
      <c r="C7" s="1" t="s">
        <v>160</v>
      </c>
      <c r="D7" s="1" t="s">
        <v>77</v>
      </c>
      <c r="E7" s="4" t="s">
        <v>285</v>
      </c>
      <c r="F7" s="4"/>
      <c r="G7" s="1" t="s">
        <v>43</v>
      </c>
      <c r="H7" s="1"/>
      <c r="I7" s="1" t="s">
        <v>77</v>
      </c>
    </row>
    <row r="8" spans="2:9" x14ac:dyDescent="0.4">
      <c r="B8" s="4">
        <v>3</v>
      </c>
      <c r="C8" s="1" t="s">
        <v>161</v>
      </c>
      <c r="D8" s="1" t="s">
        <v>78</v>
      </c>
      <c r="E8" s="4" t="s">
        <v>105</v>
      </c>
      <c r="F8" s="4"/>
      <c r="G8" s="1" t="s">
        <v>43</v>
      </c>
      <c r="H8" s="1"/>
      <c r="I8" s="1" t="s">
        <v>78</v>
      </c>
    </row>
    <row r="9" spans="2:9" x14ac:dyDescent="0.4">
      <c r="B9" s="4">
        <v>4</v>
      </c>
      <c r="C9" s="1" t="s">
        <v>181</v>
      </c>
      <c r="D9" s="1" t="s">
        <v>182</v>
      </c>
      <c r="E9" s="4" t="s">
        <v>25</v>
      </c>
      <c r="F9" s="4"/>
      <c r="G9" s="1" t="s">
        <v>43</v>
      </c>
      <c r="H9" s="1"/>
      <c r="I9" s="1" t="s">
        <v>51</v>
      </c>
    </row>
    <row r="10" spans="2:9" x14ac:dyDescent="0.4">
      <c r="B10" s="4">
        <v>5</v>
      </c>
      <c r="C10" s="1" t="s">
        <v>279</v>
      </c>
      <c r="D10" s="1" t="s">
        <v>280</v>
      </c>
      <c r="E10" s="4" t="s">
        <v>23</v>
      </c>
      <c r="F10" s="4"/>
      <c r="G10" s="1" t="s">
        <v>43</v>
      </c>
      <c r="H10" s="7" t="s">
        <v>214</v>
      </c>
      <c r="I10" s="1" t="s">
        <v>280</v>
      </c>
    </row>
    <row r="11" spans="2:9" x14ac:dyDescent="0.4">
      <c r="B11" s="4">
        <v>6</v>
      </c>
      <c r="C11" s="1" t="s">
        <v>281</v>
      </c>
      <c r="D11" s="1" t="s">
        <v>282</v>
      </c>
      <c r="E11" s="4" t="s">
        <v>283</v>
      </c>
      <c r="F11" s="4"/>
      <c r="G11" s="1" t="s">
        <v>43</v>
      </c>
      <c r="H11" s="7" t="s">
        <v>284</v>
      </c>
      <c r="I11" s="1" t="s">
        <v>282</v>
      </c>
    </row>
    <row r="12" spans="2:9" x14ac:dyDescent="0.4">
      <c r="B12" s="4">
        <v>7</v>
      </c>
      <c r="C12" s="1" t="s">
        <v>167</v>
      </c>
      <c r="D12" s="1" t="s">
        <v>168</v>
      </c>
      <c r="E12" s="4" t="s">
        <v>23</v>
      </c>
      <c r="F12" s="4"/>
      <c r="G12" s="1" t="s">
        <v>43</v>
      </c>
      <c r="H12" s="7" t="s">
        <v>170</v>
      </c>
      <c r="I12" s="1" t="s">
        <v>168</v>
      </c>
    </row>
    <row r="13" spans="2:9" x14ac:dyDescent="0.4">
      <c r="B13" s="4">
        <v>8</v>
      </c>
      <c r="C13" s="1" t="s">
        <v>165</v>
      </c>
      <c r="D13" s="1" t="s">
        <v>180</v>
      </c>
      <c r="E13" s="4" t="s">
        <v>124</v>
      </c>
      <c r="F13" s="4"/>
      <c r="G13" s="1" t="s">
        <v>43</v>
      </c>
      <c r="H13" s="1" t="s">
        <v>58</v>
      </c>
      <c r="I13" s="1" t="s">
        <v>127</v>
      </c>
    </row>
    <row r="14" spans="2:9" x14ac:dyDescent="0.4">
      <c r="B14" s="4">
        <v>9</v>
      </c>
      <c r="C14" s="1" t="s">
        <v>276</v>
      </c>
      <c r="D14" s="1" t="s">
        <v>79</v>
      </c>
      <c r="E14" s="4" t="s">
        <v>49</v>
      </c>
      <c r="F14" s="4"/>
      <c r="G14" s="1" t="s">
        <v>43</v>
      </c>
      <c r="H14" s="1" t="s">
        <v>59</v>
      </c>
      <c r="I14" s="1" t="s">
        <v>52</v>
      </c>
    </row>
    <row r="15" spans="2:9" x14ac:dyDescent="0.4">
      <c r="B15" s="4">
        <v>10</v>
      </c>
      <c r="C15" s="1" t="s">
        <v>278</v>
      </c>
      <c r="D15" s="1" t="s">
        <v>53</v>
      </c>
      <c r="E15" s="4" t="s">
        <v>105</v>
      </c>
      <c r="F15" s="4"/>
      <c r="G15" s="1" t="s">
        <v>43</v>
      </c>
      <c r="H15" s="1" t="s">
        <v>58</v>
      </c>
      <c r="I15" s="1" t="s">
        <v>53</v>
      </c>
    </row>
    <row r="16" spans="2:9" x14ac:dyDescent="0.4">
      <c r="B16" s="4">
        <v>11</v>
      </c>
      <c r="C16" s="1" t="s">
        <v>275</v>
      </c>
      <c r="D16" s="1" t="s">
        <v>82</v>
      </c>
      <c r="E16" s="4" t="s">
        <v>173</v>
      </c>
      <c r="F16" s="4"/>
      <c r="G16" s="1" t="s">
        <v>43</v>
      </c>
      <c r="H16" s="1" t="s">
        <v>60</v>
      </c>
      <c r="I16" s="1" t="s">
        <v>54</v>
      </c>
    </row>
    <row r="17" spans="2:9" x14ac:dyDescent="0.4">
      <c r="B17" s="4">
        <v>12</v>
      </c>
      <c r="C17" s="1" t="s">
        <v>277</v>
      </c>
      <c r="D17" s="1" t="s">
        <v>83</v>
      </c>
      <c r="E17" s="4" t="s">
        <v>23</v>
      </c>
      <c r="F17" s="4"/>
      <c r="G17" s="1" t="s">
        <v>43</v>
      </c>
      <c r="H17" s="7" t="s">
        <v>170</v>
      </c>
      <c r="I17" s="1" t="s">
        <v>83</v>
      </c>
    </row>
    <row r="18" spans="2:9" x14ac:dyDescent="0.4">
      <c r="B18" s="4">
        <v>13</v>
      </c>
      <c r="C18" s="1" t="s">
        <v>132</v>
      </c>
      <c r="D18" s="1" t="s">
        <v>134</v>
      </c>
      <c r="E18" s="4" t="s">
        <v>173</v>
      </c>
      <c r="F18" s="4"/>
      <c r="G18" s="1" t="s">
        <v>43</v>
      </c>
      <c r="H18" s="1"/>
      <c r="I18" s="1" t="s">
        <v>134</v>
      </c>
    </row>
    <row r="19" spans="2:9" x14ac:dyDescent="0.4">
      <c r="B19" s="4">
        <v>14</v>
      </c>
      <c r="C19" s="1" t="s">
        <v>196</v>
      </c>
      <c r="D19" s="1" t="s">
        <v>197</v>
      </c>
      <c r="E19" s="4" t="s">
        <v>173</v>
      </c>
      <c r="F19" s="4"/>
      <c r="G19" s="1" t="s">
        <v>41</v>
      </c>
      <c r="H19" s="1" t="s">
        <v>58</v>
      </c>
      <c r="I19" s="1" t="s">
        <v>197</v>
      </c>
    </row>
    <row r="20" spans="2:9" x14ac:dyDescent="0.4">
      <c r="B20" s="4">
        <v>15</v>
      </c>
      <c r="C20" s="1" t="s">
        <v>50</v>
      </c>
      <c r="D20" s="1" t="s">
        <v>55</v>
      </c>
      <c r="E20" s="4" t="s">
        <v>49</v>
      </c>
      <c r="F20" s="4"/>
      <c r="G20" s="1" t="s">
        <v>41</v>
      </c>
      <c r="H20" s="1" t="s">
        <v>59</v>
      </c>
      <c r="I20" s="1" t="s">
        <v>55</v>
      </c>
    </row>
    <row r="21" spans="2:9" x14ac:dyDescent="0.4">
      <c r="B21" s="4">
        <v>16</v>
      </c>
      <c r="C21" s="1" t="s">
        <v>241</v>
      </c>
      <c r="D21" s="1" t="s">
        <v>198</v>
      </c>
      <c r="E21" s="4" t="s">
        <v>173</v>
      </c>
      <c r="F21" s="4"/>
      <c r="G21" s="1" t="s">
        <v>41</v>
      </c>
      <c r="H21" s="1" t="s">
        <v>58</v>
      </c>
      <c r="I21" s="1" t="s">
        <v>198</v>
      </c>
    </row>
    <row r="22" spans="2:9" x14ac:dyDescent="0.4">
      <c r="B22" s="4">
        <v>17</v>
      </c>
      <c r="C22" s="1" t="s">
        <v>239</v>
      </c>
      <c r="D22" s="1" t="s">
        <v>57</v>
      </c>
      <c r="E22" s="4" t="s">
        <v>49</v>
      </c>
      <c r="F22" s="4"/>
      <c r="G22" s="1" t="s">
        <v>41</v>
      </c>
      <c r="H22" s="1" t="s">
        <v>59</v>
      </c>
      <c r="I22" s="1" t="s">
        <v>57</v>
      </c>
    </row>
    <row r="23" spans="2:9" x14ac:dyDescent="0.4">
      <c r="F23" s="3"/>
    </row>
    <row r="24" spans="2:9" x14ac:dyDescent="0.4">
      <c r="B24" s="10" t="s">
        <v>28</v>
      </c>
      <c r="C24" s="11"/>
      <c r="D24" s="11"/>
      <c r="E24" s="11"/>
      <c r="F24" s="11"/>
      <c r="G24" s="11"/>
      <c r="H24" s="11"/>
      <c r="I24" s="12"/>
    </row>
    <row r="25" spans="2:9" x14ac:dyDescent="0.4">
      <c r="B25" s="5" t="s">
        <v>1</v>
      </c>
      <c r="C25" s="4" t="s">
        <v>261</v>
      </c>
      <c r="D25" s="5" t="s">
        <v>3</v>
      </c>
      <c r="E25" s="4" t="s">
        <v>80</v>
      </c>
      <c r="F25" s="5" t="s">
        <v>29</v>
      </c>
      <c r="G25" s="4" t="s">
        <v>38</v>
      </c>
      <c r="H25" s="5" t="s">
        <v>30</v>
      </c>
      <c r="I25" s="6">
        <v>44942</v>
      </c>
    </row>
    <row r="26" spans="2:9" x14ac:dyDescent="0.4">
      <c r="B26" s="5" t="s">
        <v>31</v>
      </c>
      <c r="C26" s="13" t="s">
        <v>61</v>
      </c>
      <c r="D26" s="13"/>
      <c r="E26" s="13"/>
      <c r="F26" s="13"/>
      <c r="G26" s="13"/>
      <c r="H26" s="13"/>
      <c r="I26" s="13"/>
    </row>
    <row r="27" spans="2:9" x14ac:dyDescent="0.4">
      <c r="B27" s="5" t="s">
        <v>32</v>
      </c>
      <c r="C27" s="5" t="s">
        <v>1</v>
      </c>
      <c r="D27" s="5" t="s">
        <v>3</v>
      </c>
      <c r="E27" s="5" t="s">
        <v>33</v>
      </c>
      <c r="F27" s="5" t="s">
        <v>34</v>
      </c>
      <c r="G27" s="5" t="s">
        <v>35</v>
      </c>
      <c r="H27" s="5" t="s">
        <v>22</v>
      </c>
      <c r="I27" s="5" t="s">
        <v>36</v>
      </c>
    </row>
    <row r="28" spans="2:9" x14ac:dyDescent="0.4">
      <c r="B28" s="4">
        <v>1</v>
      </c>
      <c r="C28" s="1" t="s">
        <v>66</v>
      </c>
      <c r="D28" s="1" t="s">
        <v>80</v>
      </c>
      <c r="E28" s="4" t="s">
        <v>25</v>
      </c>
      <c r="F28" s="4">
        <v>1</v>
      </c>
      <c r="G28" s="1" t="s">
        <v>41</v>
      </c>
      <c r="H28" s="1"/>
      <c r="I28" s="1" t="s">
        <v>80</v>
      </c>
    </row>
    <row r="29" spans="2:9" x14ac:dyDescent="0.4">
      <c r="B29" s="4">
        <v>2</v>
      </c>
      <c r="C29" s="1" t="s">
        <v>62</v>
      </c>
      <c r="D29" s="1" t="s">
        <v>81</v>
      </c>
      <c r="E29" s="4" t="s">
        <v>64</v>
      </c>
      <c r="F29" s="4"/>
      <c r="G29" s="1" t="s">
        <v>43</v>
      </c>
      <c r="H29" s="1"/>
      <c r="I29" s="1" t="s">
        <v>81</v>
      </c>
    </row>
    <row r="30" spans="2:9" x14ac:dyDescent="0.4">
      <c r="B30" s="4">
        <v>3</v>
      </c>
      <c r="C30" s="1" t="s">
        <v>154</v>
      </c>
      <c r="D30" s="1" t="s">
        <v>180</v>
      </c>
      <c r="E30" s="4" t="s">
        <v>124</v>
      </c>
      <c r="F30" s="4"/>
      <c r="G30" s="1" t="s">
        <v>43</v>
      </c>
      <c r="H30" s="1" t="s">
        <v>58</v>
      </c>
      <c r="I30" s="1" t="s">
        <v>180</v>
      </c>
    </row>
    <row r="31" spans="2:9" x14ac:dyDescent="0.4">
      <c r="B31" s="4">
        <v>4</v>
      </c>
      <c r="C31" s="1" t="s">
        <v>196</v>
      </c>
      <c r="D31" s="1" t="s">
        <v>197</v>
      </c>
      <c r="E31" s="4" t="s">
        <v>173</v>
      </c>
      <c r="F31" s="4"/>
      <c r="G31" s="1" t="s">
        <v>41</v>
      </c>
      <c r="H31" s="1" t="s">
        <v>58</v>
      </c>
      <c r="I31" s="1" t="s">
        <v>197</v>
      </c>
    </row>
    <row r="32" spans="2:9" x14ac:dyDescent="0.4">
      <c r="B32" s="4">
        <v>5</v>
      </c>
      <c r="C32" s="1" t="s">
        <v>50</v>
      </c>
      <c r="D32" s="1" t="s">
        <v>55</v>
      </c>
      <c r="E32" s="4" t="s">
        <v>49</v>
      </c>
      <c r="F32" s="4"/>
      <c r="G32" s="1" t="s">
        <v>41</v>
      </c>
      <c r="H32" s="1" t="s">
        <v>59</v>
      </c>
      <c r="I32" s="1" t="s">
        <v>55</v>
      </c>
    </row>
    <row r="33" spans="2:9" x14ac:dyDescent="0.4">
      <c r="B33" s="4">
        <v>6</v>
      </c>
      <c r="C33" s="1" t="s">
        <v>241</v>
      </c>
      <c r="D33" s="1" t="s">
        <v>198</v>
      </c>
      <c r="E33" s="4" t="s">
        <v>173</v>
      </c>
      <c r="F33" s="4"/>
      <c r="G33" s="1" t="s">
        <v>41</v>
      </c>
      <c r="H33" s="1" t="s">
        <v>58</v>
      </c>
      <c r="I33" s="1" t="s">
        <v>198</v>
      </c>
    </row>
    <row r="34" spans="2:9" x14ac:dyDescent="0.4">
      <c r="B34" s="4">
        <v>7</v>
      </c>
      <c r="C34" s="1" t="s">
        <v>239</v>
      </c>
      <c r="D34" s="1" t="s">
        <v>57</v>
      </c>
      <c r="E34" s="4" t="s">
        <v>49</v>
      </c>
      <c r="F34" s="4"/>
      <c r="G34" s="1" t="s">
        <v>41</v>
      </c>
      <c r="H34" s="1" t="s">
        <v>59</v>
      </c>
      <c r="I34" s="1" t="s">
        <v>57</v>
      </c>
    </row>
    <row r="35" spans="2:9" x14ac:dyDescent="0.4">
      <c r="F35" s="3"/>
    </row>
    <row r="36" spans="2:9" x14ac:dyDescent="0.4">
      <c r="B36" s="5" t="s">
        <v>32</v>
      </c>
      <c r="C36" s="14" t="s">
        <v>44</v>
      </c>
      <c r="D36" s="14"/>
      <c r="E36" s="14"/>
      <c r="F36" s="14" t="s">
        <v>45</v>
      </c>
      <c r="G36" s="14"/>
      <c r="H36" s="14"/>
      <c r="I36" s="14"/>
    </row>
    <row r="37" spans="2:9" x14ac:dyDescent="0.4">
      <c r="B37" s="4">
        <v>1</v>
      </c>
      <c r="C37" s="15" t="str">
        <f>_xlfn.CONCAT("PK_",C25)</f>
        <v>PK_tb_code_group</v>
      </c>
      <c r="D37" s="15"/>
      <c r="E37" s="15"/>
      <c r="F37" s="15" t="str">
        <f>C28</f>
        <v>CODE_GROUP</v>
      </c>
      <c r="G37" s="15"/>
      <c r="H37" s="15"/>
      <c r="I37" s="15"/>
    </row>
    <row r="38" spans="2:9" x14ac:dyDescent="0.4">
      <c r="F38" s="3"/>
    </row>
    <row r="39" spans="2:9" x14ac:dyDescent="0.4">
      <c r="B39" s="10" t="s">
        <v>28</v>
      </c>
      <c r="C39" s="11"/>
      <c r="D39" s="11"/>
      <c r="E39" s="11"/>
      <c r="F39" s="11"/>
      <c r="G39" s="11"/>
      <c r="H39" s="11"/>
      <c r="I39" s="12"/>
    </row>
    <row r="40" spans="2:9" x14ac:dyDescent="0.4">
      <c r="B40" s="5" t="s">
        <v>1</v>
      </c>
      <c r="C40" s="4" t="s">
        <v>262</v>
      </c>
      <c r="D40" s="5" t="s">
        <v>3</v>
      </c>
      <c r="E40" s="4" t="s">
        <v>96</v>
      </c>
      <c r="F40" s="5" t="s">
        <v>29</v>
      </c>
      <c r="G40" s="4" t="s">
        <v>38</v>
      </c>
      <c r="H40" s="5" t="s">
        <v>30</v>
      </c>
      <c r="I40" s="6">
        <v>44942</v>
      </c>
    </row>
    <row r="41" spans="2:9" x14ac:dyDescent="0.4">
      <c r="B41" s="5" t="s">
        <v>31</v>
      </c>
      <c r="C41" s="13" t="s">
        <v>65</v>
      </c>
      <c r="D41" s="13"/>
      <c r="E41" s="13"/>
      <c r="F41" s="13"/>
      <c r="G41" s="13"/>
      <c r="H41" s="13"/>
      <c r="I41" s="13"/>
    </row>
    <row r="42" spans="2:9" x14ac:dyDescent="0.4">
      <c r="B42" s="5" t="s">
        <v>32</v>
      </c>
      <c r="C42" s="5" t="s">
        <v>1</v>
      </c>
      <c r="D42" s="5" t="s">
        <v>3</v>
      </c>
      <c r="E42" s="5" t="s">
        <v>33</v>
      </c>
      <c r="F42" s="5" t="s">
        <v>34</v>
      </c>
      <c r="G42" s="5" t="s">
        <v>35</v>
      </c>
      <c r="H42" s="5" t="s">
        <v>22</v>
      </c>
      <c r="I42" s="5" t="s">
        <v>36</v>
      </c>
    </row>
    <row r="43" spans="2:9" x14ac:dyDescent="0.4">
      <c r="B43" s="4">
        <v>1</v>
      </c>
      <c r="C43" s="1" t="s">
        <v>66</v>
      </c>
      <c r="D43" s="1" t="s">
        <v>80</v>
      </c>
      <c r="E43" s="4" t="s">
        <v>25</v>
      </c>
      <c r="F43" s="4">
        <v>1</v>
      </c>
      <c r="G43" s="1" t="s">
        <v>41</v>
      </c>
      <c r="H43" s="1"/>
      <c r="I43" s="1" t="s">
        <v>80</v>
      </c>
    </row>
    <row r="44" spans="2:9" x14ac:dyDescent="0.4">
      <c r="B44" s="4">
        <v>2</v>
      </c>
      <c r="C44" s="1" t="s">
        <v>68</v>
      </c>
      <c r="D44" s="1" t="s">
        <v>96</v>
      </c>
      <c r="E44" s="4" t="s">
        <v>24</v>
      </c>
      <c r="F44" s="4">
        <v>2</v>
      </c>
      <c r="G44" s="1" t="s">
        <v>41</v>
      </c>
      <c r="H44" s="1"/>
      <c r="I44" s="1" t="s">
        <v>96</v>
      </c>
    </row>
    <row r="45" spans="2:9" x14ac:dyDescent="0.4">
      <c r="B45" s="4">
        <v>3</v>
      </c>
      <c r="C45" s="1" t="s">
        <v>94</v>
      </c>
      <c r="D45" s="1" t="s">
        <v>95</v>
      </c>
      <c r="E45" s="4" t="s">
        <v>64</v>
      </c>
      <c r="F45" s="4"/>
      <c r="G45" s="1" t="s">
        <v>43</v>
      </c>
      <c r="H45" s="1" t="s">
        <v>58</v>
      </c>
      <c r="I45" s="1" t="s">
        <v>95</v>
      </c>
    </row>
    <row r="46" spans="2:9" x14ac:dyDescent="0.4">
      <c r="B46" s="4">
        <v>4</v>
      </c>
      <c r="C46" s="1" t="s">
        <v>242</v>
      </c>
      <c r="D46" s="1" t="s">
        <v>97</v>
      </c>
      <c r="E46" s="4" t="s">
        <v>23</v>
      </c>
      <c r="F46" s="4"/>
      <c r="G46" s="1" t="s">
        <v>43</v>
      </c>
      <c r="H46" s="1"/>
      <c r="I46" s="1" t="s">
        <v>97</v>
      </c>
    </row>
    <row r="47" spans="2:9" x14ac:dyDescent="0.4">
      <c r="B47" s="4">
        <v>5</v>
      </c>
      <c r="C47" s="1" t="s">
        <v>243</v>
      </c>
      <c r="D47" s="1" t="s">
        <v>84</v>
      </c>
      <c r="E47" s="4" t="s">
        <v>92</v>
      </c>
      <c r="F47" s="4"/>
      <c r="G47" s="1" t="s">
        <v>43</v>
      </c>
      <c r="H47" s="1" t="s">
        <v>58</v>
      </c>
      <c r="I47" s="1" t="s">
        <v>84</v>
      </c>
    </row>
    <row r="48" spans="2:9" x14ac:dyDescent="0.4">
      <c r="B48" s="4">
        <v>6</v>
      </c>
      <c r="C48" s="1" t="s">
        <v>195</v>
      </c>
      <c r="D48" s="1" t="s">
        <v>197</v>
      </c>
      <c r="E48" s="4" t="s">
        <v>173</v>
      </c>
      <c r="F48" s="4"/>
      <c r="G48" s="1" t="s">
        <v>41</v>
      </c>
      <c r="H48" s="1" t="s">
        <v>58</v>
      </c>
      <c r="I48" s="1" t="s">
        <v>197</v>
      </c>
    </row>
    <row r="49" spans="2:9" x14ac:dyDescent="0.4">
      <c r="B49" s="4">
        <v>7</v>
      </c>
      <c r="C49" s="1" t="s">
        <v>50</v>
      </c>
      <c r="D49" s="1" t="s">
        <v>55</v>
      </c>
      <c r="E49" s="4" t="s">
        <v>49</v>
      </c>
      <c r="F49" s="4"/>
      <c r="G49" s="1" t="s">
        <v>41</v>
      </c>
      <c r="H49" s="1" t="s">
        <v>59</v>
      </c>
      <c r="I49" s="1" t="s">
        <v>55</v>
      </c>
    </row>
    <row r="50" spans="2:9" x14ac:dyDescent="0.4">
      <c r="B50" s="4">
        <v>8</v>
      </c>
      <c r="C50" s="1" t="s">
        <v>241</v>
      </c>
      <c r="D50" s="1" t="s">
        <v>198</v>
      </c>
      <c r="E50" s="4" t="s">
        <v>173</v>
      </c>
      <c r="F50" s="4"/>
      <c r="G50" s="1" t="s">
        <v>41</v>
      </c>
      <c r="H50" s="1" t="s">
        <v>58</v>
      </c>
      <c r="I50" s="1" t="s">
        <v>198</v>
      </c>
    </row>
    <row r="51" spans="2:9" x14ac:dyDescent="0.4">
      <c r="B51" s="4">
        <v>9</v>
      </c>
      <c r="C51" s="1" t="s">
        <v>239</v>
      </c>
      <c r="D51" s="1" t="s">
        <v>57</v>
      </c>
      <c r="E51" s="4" t="s">
        <v>49</v>
      </c>
      <c r="F51" s="4"/>
      <c r="G51" s="1" t="s">
        <v>41</v>
      </c>
      <c r="H51" s="1" t="s">
        <v>59</v>
      </c>
      <c r="I51" s="1" t="s">
        <v>57</v>
      </c>
    </row>
    <row r="52" spans="2:9" x14ac:dyDescent="0.4">
      <c r="F52" s="3"/>
    </row>
    <row r="53" spans="2:9" x14ac:dyDescent="0.4">
      <c r="B53" s="5" t="s">
        <v>32</v>
      </c>
      <c r="C53" s="14" t="s">
        <v>44</v>
      </c>
      <c r="D53" s="14"/>
      <c r="E53" s="14"/>
      <c r="F53" s="14" t="s">
        <v>45</v>
      </c>
      <c r="G53" s="14"/>
      <c r="H53" s="14"/>
      <c r="I53" s="14"/>
    </row>
    <row r="54" spans="2:9" x14ac:dyDescent="0.4">
      <c r="B54" s="4">
        <v>1</v>
      </c>
      <c r="C54" s="15" t="str">
        <f>_xlfn.CONCAT("PK_",C40)</f>
        <v>PK_tb_code_detail</v>
      </c>
      <c r="D54" s="15"/>
      <c r="E54" s="15"/>
      <c r="F54" s="15" t="str">
        <f>C43</f>
        <v>CODE_GROUP</v>
      </c>
      <c r="G54" s="15"/>
      <c r="H54" s="15"/>
      <c r="I54" s="15"/>
    </row>
    <row r="55" spans="2:9" x14ac:dyDescent="0.4">
      <c r="B55" s="4">
        <v>2</v>
      </c>
      <c r="C55" s="15" t="str">
        <f>_xlfn.CONCAT("PK_",C40)</f>
        <v>PK_tb_code_detail</v>
      </c>
      <c r="D55" s="15"/>
      <c r="E55" s="15"/>
      <c r="F55" s="15" t="str">
        <f>C44</f>
        <v>CODE_DETAIL</v>
      </c>
      <c r="G55" s="15"/>
      <c r="H55" s="15"/>
      <c r="I55" s="15"/>
    </row>
    <row r="56" spans="2:9" x14ac:dyDescent="0.4">
      <c r="F56" s="3"/>
    </row>
    <row r="57" spans="2:9" x14ac:dyDescent="0.4">
      <c r="B57" s="10" t="s">
        <v>28</v>
      </c>
      <c r="C57" s="11"/>
      <c r="D57" s="11"/>
      <c r="E57" s="11"/>
      <c r="F57" s="11"/>
      <c r="G57" s="11"/>
      <c r="H57" s="11"/>
      <c r="I57" s="12"/>
    </row>
    <row r="58" spans="2:9" x14ac:dyDescent="0.4">
      <c r="B58" s="5" t="s">
        <v>1</v>
      </c>
      <c r="C58" s="4" t="s">
        <v>263</v>
      </c>
      <c r="D58" s="5" t="s">
        <v>3</v>
      </c>
      <c r="E58" s="4" t="s">
        <v>110</v>
      </c>
      <c r="F58" s="5" t="s">
        <v>29</v>
      </c>
      <c r="G58" s="4" t="s">
        <v>38</v>
      </c>
      <c r="H58" s="5" t="s">
        <v>30</v>
      </c>
      <c r="I58" s="6">
        <v>44942</v>
      </c>
    </row>
    <row r="59" spans="2:9" x14ac:dyDescent="0.4">
      <c r="B59" s="5" t="s">
        <v>31</v>
      </c>
      <c r="C59" s="13" t="s">
        <v>71</v>
      </c>
      <c r="D59" s="13"/>
      <c r="E59" s="13"/>
      <c r="F59" s="13"/>
      <c r="G59" s="13"/>
      <c r="H59" s="13"/>
      <c r="I59" s="13"/>
    </row>
    <row r="60" spans="2:9" x14ac:dyDescent="0.4">
      <c r="B60" s="5" t="s">
        <v>32</v>
      </c>
      <c r="C60" s="5" t="s">
        <v>1</v>
      </c>
      <c r="D60" s="5" t="s">
        <v>3</v>
      </c>
      <c r="E60" s="5" t="s">
        <v>33</v>
      </c>
      <c r="F60" s="5" t="s">
        <v>34</v>
      </c>
      <c r="G60" s="5" t="s">
        <v>35</v>
      </c>
      <c r="H60" s="5" t="s">
        <v>22</v>
      </c>
      <c r="I60" s="5" t="s">
        <v>36</v>
      </c>
    </row>
    <row r="61" spans="2:9" x14ac:dyDescent="0.4">
      <c r="B61" s="4">
        <v>1</v>
      </c>
      <c r="C61" s="1" t="s">
        <v>93</v>
      </c>
      <c r="D61" s="1" t="s">
        <v>85</v>
      </c>
      <c r="E61" s="4" t="s">
        <v>173</v>
      </c>
      <c r="F61" s="4">
        <v>1</v>
      </c>
      <c r="G61" s="1" t="s">
        <v>41</v>
      </c>
      <c r="H61" s="1" t="s">
        <v>194</v>
      </c>
      <c r="I61" s="1" t="s">
        <v>85</v>
      </c>
    </row>
    <row r="62" spans="2:9" x14ac:dyDescent="0.4">
      <c r="B62" s="4">
        <v>2</v>
      </c>
      <c r="C62" s="1" t="s">
        <v>73</v>
      </c>
      <c r="D62" s="1" t="s">
        <v>74</v>
      </c>
      <c r="E62" s="4" t="s">
        <v>49</v>
      </c>
      <c r="F62" s="4"/>
      <c r="G62" s="1" t="s">
        <v>43</v>
      </c>
      <c r="H62" s="1" t="s">
        <v>59</v>
      </c>
      <c r="I62" s="1" t="s">
        <v>74</v>
      </c>
    </row>
    <row r="63" spans="2:9" x14ac:dyDescent="0.4">
      <c r="B63" s="4">
        <v>3</v>
      </c>
      <c r="C63" s="1" t="s">
        <v>192</v>
      </c>
      <c r="D63" s="1" t="s">
        <v>193</v>
      </c>
      <c r="E63" s="4" t="s">
        <v>173</v>
      </c>
      <c r="F63" s="4"/>
      <c r="G63" s="1" t="s">
        <v>43</v>
      </c>
      <c r="H63" s="1" t="s">
        <v>58</v>
      </c>
      <c r="I63" s="1" t="s">
        <v>193</v>
      </c>
    </row>
    <row r="64" spans="2:9" x14ac:dyDescent="0.4">
      <c r="B64" s="4">
        <v>4</v>
      </c>
      <c r="C64" s="1" t="s">
        <v>160</v>
      </c>
      <c r="D64" s="1" t="s">
        <v>77</v>
      </c>
      <c r="E64" s="4" t="s">
        <v>46</v>
      </c>
      <c r="F64" s="4"/>
      <c r="G64" s="1" t="s">
        <v>43</v>
      </c>
      <c r="H64" s="1"/>
      <c r="I64" s="1" t="s">
        <v>77</v>
      </c>
    </row>
    <row r="65" spans="2:9" x14ac:dyDescent="0.4">
      <c r="B65" s="4">
        <v>5</v>
      </c>
      <c r="C65" s="1" t="s">
        <v>155</v>
      </c>
      <c r="D65" s="1" t="s">
        <v>75</v>
      </c>
      <c r="E65" s="4" t="s">
        <v>72</v>
      </c>
      <c r="F65" s="4"/>
      <c r="G65" s="1" t="s">
        <v>43</v>
      </c>
      <c r="H65" s="1" t="s">
        <v>58</v>
      </c>
      <c r="I65" s="1" t="s">
        <v>75</v>
      </c>
    </row>
    <row r="66" spans="2:9" x14ac:dyDescent="0.4">
      <c r="B66" s="4">
        <v>6</v>
      </c>
      <c r="C66" s="1" t="s">
        <v>287</v>
      </c>
      <c r="D66" s="1" t="s">
        <v>76</v>
      </c>
      <c r="E66" s="4" t="s">
        <v>24</v>
      </c>
      <c r="F66" s="4"/>
      <c r="G66" s="1" t="s">
        <v>43</v>
      </c>
      <c r="H66" s="1" t="s">
        <v>58</v>
      </c>
      <c r="I66" s="1" t="s">
        <v>76</v>
      </c>
    </row>
    <row r="67" spans="2:9" x14ac:dyDescent="0.4">
      <c r="F67" s="3"/>
    </row>
    <row r="68" spans="2:9" x14ac:dyDescent="0.4">
      <c r="B68" s="10" t="s">
        <v>28</v>
      </c>
      <c r="C68" s="11"/>
      <c r="D68" s="11"/>
      <c r="E68" s="11"/>
      <c r="F68" s="11"/>
      <c r="G68" s="11"/>
      <c r="H68" s="11"/>
      <c r="I68" s="12"/>
    </row>
    <row r="69" spans="2:9" x14ac:dyDescent="0.4">
      <c r="B69" s="5" t="s">
        <v>1</v>
      </c>
      <c r="C69" s="4" t="s">
        <v>264</v>
      </c>
      <c r="D69" s="5" t="s">
        <v>3</v>
      </c>
      <c r="E69" s="4" t="s">
        <v>109</v>
      </c>
      <c r="F69" s="5" t="s">
        <v>29</v>
      </c>
      <c r="G69" s="4" t="s">
        <v>38</v>
      </c>
      <c r="H69" s="5" t="s">
        <v>30</v>
      </c>
      <c r="I69" s="6">
        <v>44944</v>
      </c>
    </row>
    <row r="70" spans="2:9" x14ac:dyDescent="0.4">
      <c r="B70" s="5" t="s">
        <v>31</v>
      </c>
      <c r="C70" s="13" t="s">
        <v>98</v>
      </c>
      <c r="D70" s="13"/>
      <c r="E70" s="13"/>
      <c r="F70" s="13"/>
      <c r="G70" s="13"/>
      <c r="H70" s="13"/>
      <c r="I70" s="13"/>
    </row>
    <row r="71" spans="2:9" x14ac:dyDescent="0.4">
      <c r="B71" s="5" t="s">
        <v>32</v>
      </c>
      <c r="C71" s="5" t="s">
        <v>1</v>
      </c>
      <c r="D71" s="5" t="s">
        <v>3</v>
      </c>
      <c r="E71" s="5" t="s">
        <v>33</v>
      </c>
      <c r="F71" s="5" t="s">
        <v>34</v>
      </c>
      <c r="G71" s="5" t="s">
        <v>35</v>
      </c>
      <c r="H71" s="5" t="s">
        <v>22</v>
      </c>
      <c r="I71" s="5" t="s">
        <v>36</v>
      </c>
    </row>
    <row r="72" spans="2:9" x14ac:dyDescent="0.4">
      <c r="B72" s="4">
        <v>1</v>
      </c>
      <c r="C72" s="1" t="s">
        <v>99</v>
      </c>
      <c r="D72" s="1" t="s">
        <v>100</v>
      </c>
      <c r="E72" s="4" t="s">
        <v>173</v>
      </c>
      <c r="F72" s="4">
        <v>1</v>
      </c>
      <c r="G72" s="1" t="s">
        <v>41</v>
      </c>
      <c r="H72" s="1" t="s">
        <v>194</v>
      </c>
      <c r="I72" s="1" t="s">
        <v>100</v>
      </c>
    </row>
    <row r="73" spans="2:9" x14ac:dyDescent="0.4">
      <c r="B73" s="4">
        <v>2</v>
      </c>
      <c r="C73" s="1" t="s">
        <v>101</v>
      </c>
      <c r="D73" s="1" t="s">
        <v>102</v>
      </c>
      <c r="E73" s="4" t="s">
        <v>49</v>
      </c>
      <c r="F73" s="4"/>
      <c r="G73" s="1" t="s">
        <v>43</v>
      </c>
      <c r="H73" s="1" t="s">
        <v>59</v>
      </c>
      <c r="I73" s="1" t="s">
        <v>102</v>
      </c>
    </row>
    <row r="74" spans="2:9" x14ac:dyDescent="0.4">
      <c r="B74" s="4">
        <v>3</v>
      </c>
      <c r="C74" s="1" t="s">
        <v>192</v>
      </c>
      <c r="D74" s="1" t="s">
        <v>193</v>
      </c>
      <c r="E74" s="4" t="s">
        <v>173</v>
      </c>
      <c r="F74" s="4"/>
      <c r="G74" s="1" t="s">
        <v>43</v>
      </c>
      <c r="H74" s="1" t="s">
        <v>58</v>
      </c>
      <c r="I74" s="1" t="s">
        <v>193</v>
      </c>
    </row>
    <row r="75" spans="2:9" x14ac:dyDescent="0.4">
      <c r="B75" s="4">
        <v>5</v>
      </c>
      <c r="C75" s="1" t="s">
        <v>155</v>
      </c>
      <c r="D75" s="1" t="s">
        <v>75</v>
      </c>
      <c r="E75" s="4" t="s">
        <v>72</v>
      </c>
      <c r="F75" s="4"/>
      <c r="G75" s="1" t="s">
        <v>43</v>
      </c>
      <c r="H75" s="1" t="s">
        <v>58</v>
      </c>
      <c r="I75" s="1" t="s">
        <v>75</v>
      </c>
    </row>
    <row r="76" spans="2:9" x14ac:dyDescent="0.4">
      <c r="B76" s="4">
        <v>6</v>
      </c>
      <c r="C76" s="1" t="s">
        <v>158</v>
      </c>
      <c r="D76" s="1" t="s">
        <v>103</v>
      </c>
      <c r="E76" s="4" t="s">
        <v>105</v>
      </c>
      <c r="F76" s="4"/>
      <c r="G76" s="1" t="s">
        <v>43</v>
      </c>
      <c r="H76" s="1" t="s">
        <v>58</v>
      </c>
      <c r="I76" s="1" t="s">
        <v>103</v>
      </c>
    </row>
    <row r="77" spans="2:9" x14ac:dyDescent="0.4">
      <c r="B77" s="4">
        <v>7</v>
      </c>
      <c r="C77" s="1" t="s">
        <v>159</v>
      </c>
      <c r="D77" s="1" t="s">
        <v>104</v>
      </c>
      <c r="E77" s="4" t="s">
        <v>106</v>
      </c>
      <c r="F77" s="4"/>
      <c r="G77" s="1" t="s">
        <v>43</v>
      </c>
      <c r="H77" s="1" t="s">
        <v>58</v>
      </c>
      <c r="I77" s="1" t="s">
        <v>104</v>
      </c>
    </row>
    <row r="78" spans="2:9" x14ac:dyDescent="0.4">
      <c r="B78" s="4">
        <v>8</v>
      </c>
      <c r="C78" s="1" t="s">
        <v>107</v>
      </c>
      <c r="D78" s="1" t="s">
        <v>108</v>
      </c>
      <c r="E78" s="4" t="s">
        <v>105</v>
      </c>
      <c r="F78" s="4"/>
      <c r="G78" s="1" t="s">
        <v>43</v>
      </c>
      <c r="H78" s="1" t="s">
        <v>58</v>
      </c>
      <c r="I78" s="1" t="s">
        <v>108</v>
      </c>
    </row>
    <row r="79" spans="2:9" x14ac:dyDescent="0.4">
      <c r="F79" s="3"/>
    </row>
    <row r="80" spans="2:9" x14ac:dyDescent="0.4">
      <c r="B80" s="10" t="s">
        <v>28</v>
      </c>
      <c r="C80" s="11"/>
      <c r="D80" s="11"/>
      <c r="E80" s="11"/>
      <c r="F80" s="11"/>
      <c r="G80" s="11"/>
      <c r="H80" s="11"/>
      <c r="I80" s="12"/>
    </row>
    <row r="81" spans="2:9" x14ac:dyDescent="0.4">
      <c r="B81" s="5" t="s">
        <v>1</v>
      </c>
      <c r="C81" s="4" t="s">
        <v>265</v>
      </c>
      <c r="D81" s="5" t="s">
        <v>3</v>
      </c>
      <c r="E81" s="4" t="s">
        <v>111</v>
      </c>
      <c r="F81" s="5" t="s">
        <v>29</v>
      </c>
      <c r="G81" s="4" t="s">
        <v>38</v>
      </c>
      <c r="H81" s="5" t="s">
        <v>30</v>
      </c>
      <c r="I81" s="6">
        <v>44944</v>
      </c>
    </row>
    <row r="82" spans="2:9" x14ac:dyDescent="0.4">
      <c r="B82" s="5" t="s">
        <v>31</v>
      </c>
      <c r="C82" s="13" t="s">
        <v>112</v>
      </c>
      <c r="D82" s="13"/>
      <c r="E82" s="13"/>
      <c r="F82" s="13"/>
      <c r="G82" s="13"/>
      <c r="H82" s="13"/>
      <c r="I82" s="13"/>
    </row>
    <row r="83" spans="2:9" x14ac:dyDescent="0.4">
      <c r="B83" s="5" t="s">
        <v>32</v>
      </c>
      <c r="C83" s="5" t="s">
        <v>1</v>
      </c>
      <c r="D83" s="5" t="s">
        <v>3</v>
      </c>
      <c r="E83" s="5" t="s">
        <v>33</v>
      </c>
      <c r="F83" s="5" t="s">
        <v>34</v>
      </c>
      <c r="G83" s="5" t="s">
        <v>35</v>
      </c>
      <c r="H83" s="5" t="s">
        <v>22</v>
      </c>
      <c r="I83" s="5" t="s">
        <v>36</v>
      </c>
    </row>
    <row r="84" spans="2:9" x14ac:dyDescent="0.4">
      <c r="B84" s="4">
        <v>1</v>
      </c>
      <c r="C84" s="1" t="s">
        <v>130</v>
      </c>
      <c r="D84" s="1" t="s">
        <v>131</v>
      </c>
      <c r="E84" s="4" t="s">
        <v>173</v>
      </c>
      <c r="F84" s="4">
        <v>1</v>
      </c>
      <c r="G84" s="1" t="s">
        <v>40</v>
      </c>
      <c r="H84" s="1" t="s">
        <v>194</v>
      </c>
      <c r="I84" s="1" t="s">
        <v>131</v>
      </c>
    </row>
    <row r="85" spans="2:9" x14ac:dyDescent="0.4">
      <c r="B85" s="4">
        <v>2</v>
      </c>
      <c r="C85" s="1" t="s">
        <v>156</v>
      </c>
      <c r="D85" s="1" t="s">
        <v>113</v>
      </c>
      <c r="E85" s="4" t="s">
        <v>105</v>
      </c>
      <c r="F85" s="4"/>
      <c r="G85" s="1" t="s">
        <v>40</v>
      </c>
      <c r="H85" s="1" t="s">
        <v>58</v>
      </c>
      <c r="I85" s="1" t="s">
        <v>113</v>
      </c>
    </row>
    <row r="86" spans="2:9" x14ac:dyDescent="0.4">
      <c r="B86" s="4">
        <v>3</v>
      </c>
      <c r="C86" s="1" t="s">
        <v>114</v>
      </c>
      <c r="D86" s="1" t="s">
        <v>115</v>
      </c>
      <c r="E86" s="4" t="s">
        <v>63</v>
      </c>
      <c r="F86" s="4"/>
      <c r="G86" s="1" t="s">
        <v>42</v>
      </c>
      <c r="H86" s="1"/>
      <c r="I86" s="1" t="s">
        <v>115</v>
      </c>
    </row>
    <row r="87" spans="2:9" x14ac:dyDescent="0.4">
      <c r="B87" s="4">
        <v>3</v>
      </c>
      <c r="C87" s="1" t="s">
        <v>223</v>
      </c>
      <c r="D87" s="1" t="s">
        <v>224</v>
      </c>
      <c r="E87" s="4" t="s">
        <v>63</v>
      </c>
      <c r="F87" s="4"/>
      <c r="G87" s="1" t="s">
        <v>42</v>
      </c>
      <c r="H87" s="1"/>
      <c r="I87" s="1" t="s">
        <v>224</v>
      </c>
    </row>
    <row r="88" spans="2:9" x14ac:dyDescent="0.4">
      <c r="B88" s="4">
        <v>3</v>
      </c>
      <c r="C88" s="1" t="s">
        <v>217</v>
      </c>
      <c r="D88" s="1" t="s">
        <v>216</v>
      </c>
      <c r="E88" s="4" t="s">
        <v>63</v>
      </c>
      <c r="F88" s="4"/>
      <c r="G88" s="1" t="s">
        <v>42</v>
      </c>
      <c r="H88" s="1"/>
      <c r="I88" s="1" t="s">
        <v>216</v>
      </c>
    </row>
    <row r="89" spans="2:9" x14ac:dyDescent="0.4">
      <c r="B89" s="4">
        <v>5</v>
      </c>
      <c r="C89" s="1" t="s">
        <v>220</v>
      </c>
      <c r="D89" s="1" t="s">
        <v>221</v>
      </c>
      <c r="E89" s="4" t="s">
        <v>173</v>
      </c>
      <c r="F89" s="4"/>
      <c r="G89" s="1" t="s">
        <v>42</v>
      </c>
      <c r="H89" s="1" t="s">
        <v>58</v>
      </c>
      <c r="I89" s="1" t="s">
        <v>221</v>
      </c>
    </row>
    <row r="90" spans="2:9" x14ac:dyDescent="0.4">
      <c r="B90" s="4">
        <v>6</v>
      </c>
      <c r="C90" s="1" t="s">
        <v>222</v>
      </c>
      <c r="D90" s="1" t="s">
        <v>116</v>
      </c>
      <c r="E90" s="4" t="s">
        <v>23</v>
      </c>
      <c r="F90" s="4"/>
      <c r="G90" s="1" t="s">
        <v>42</v>
      </c>
      <c r="H90" s="1" t="s">
        <v>117</v>
      </c>
      <c r="I90" s="1" t="s">
        <v>116</v>
      </c>
    </row>
    <row r="91" spans="2:9" x14ac:dyDescent="0.4">
      <c r="B91" s="4">
        <v>7</v>
      </c>
      <c r="C91" s="1" t="s">
        <v>157</v>
      </c>
      <c r="D91" s="1" t="s">
        <v>166</v>
      </c>
      <c r="E91" s="4" t="s">
        <v>23</v>
      </c>
      <c r="F91" s="4"/>
      <c r="G91" s="1" t="s">
        <v>42</v>
      </c>
      <c r="H91" s="1" t="s">
        <v>117</v>
      </c>
      <c r="I91" s="1" t="s">
        <v>166</v>
      </c>
    </row>
    <row r="92" spans="2:9" x14ac:dyDescent="0.4">
      <c r="B92" s="4">
        <v>8</v>
      </c>
      <c r="C92" s="1" t="s">
        <v>162</v>
      </c>
      <c r="D92" s="1" t="s">
        <v>118</v>
      </c>
      <c r="E92" s="4" t="s">
        <v>126</v>
      </c>
      <c r="F92" s="4"/>
      <c r="G92" s="1" t="s">
        <v>42</v>
      </c>
      <c r="H92" s="1" t="s">
        <v>58</v>
      </c>
      <c r="I92" s="1" t="s">
        <v>118</v>
      </c>
    </row>
    <row r="93" spans="2:9" x14ac:dyDescent="0.4">
      <c r="B93" s="4">
        <v>10</v>
      </c>
      <c r="C93" s="1" t="s">
        <v>164</v>
      </c>
      <c r="D93" s="1" t="s">
        <v>120</v>
      </c>
      <c r="E93" s="4" t="s">
        <v>92</v>
      </c>
      <c r="F93" s="4"/>
      <c r="G93" s="1" t="s">
        <v>42</v>
      </c>
      <c r="H93" s="1" t="s">
        <v>58</v>
      </c>
      <c r="I93" s="1" t="s">
        <v>120</v>
      </c>
    </row>
    <row r="94" spans="2:9" x14ac:dyDescent="0.4">
      <c r="B94" s="4">
        <v>9</v>
      </c>
      <c r="C94" s="1" t="s">
        <v>218</v>
      </c>
      <c r="D94" s="1" t="s">
        <v>119</v>
      </c>
      <c r="E94" s="4" t="s">
        <v>47</v>
      </c>
      <c r="F94" s="4"/>
      <c r="G94" s="1" t="s">
        <v>42</v>
      </c>
      <c r="H94" s="1" t="s">
        <v>58</v>
      </c>
      <c r="I94" s="1" t="s">
        <v>119</v>
      </c>
    </row>
    <row r="95" spans="2:9" x14ac:dyDescent="0.4">
      <c r="B95" s="4">
        <v>11</v>
      </c>
      <c r="C95" s="1" t="s">
        <v>219</v>
      </c>
      <c r="D95" s="1" t="s">
        <v>125</v>
      </c>
      <c r="E95" s="4" t="s">
        <v>124</v>
      </c>
      <c r="F95" s="4"/>
      <c r="G95" s="1" t="s">
        <v>42</v>
      </c>
      <c r="H95" s="1" t="s">
        <v>58</v>
      </c>
      <c r="I95" s="1" t="s">
        <v>125</v>
      </c>
    </row>
    <row r="96" spans="2:9" x14ac:dyDescent="0.4">
      <c r="B96" s="4">
        <v>12</v>
      </c>
      <c r="C96" s="1" t="s">
        <v>195</v>
      </c>
      <c r="D96" s="1" t="s">
        <v>197</v>
      </c>
      <c r="E96" s="4" t="s">
        <v>173</v>
      </c>
      <c r="F96" s="4"/>
      <c r="G96" s="1" t="s">
        <v>40</v>
      </c>
      <c r="H96" s="1" t="s">
        <v>58</v>
      </c>
      <c r="I96" s="1" t="s">
        <v>197</v>
      </c>
    </row>
    <row r="97" spans="2:9" x14ac:dyDescent="0.4">
      <c r="B97" s="4">
        <v>13</v>
      </c>
      <c r="C97" s="1" t="s">
        <v>50</v>
      </c>
      <c r="D97" s="1" t="s">
        <v>55</v>
      </c>
      <c r="E97" s="4" t="s">
        <v>49</v>
      </c>
      <c r="F97" s="4"/>
      <c r="G97" s="1" t="s">
        <v>40</v>
      </c>
      <c r="H97" s="1" t="s">
        <v>59</v>
      </c>
      <c r="I97" s="1" t="s">
        <v>55</v>
      </c>
    </row>
    <row r="98" spans="2:9" x14ac:dyDescent="0.4">
      <c r="B98" s="4">
        <v>14</v>
      </c>
      <c r="C98" s="1" t="s">
        <v>241</v>
      </c>
      <c r="D98" s="1" t="s">
        <v>198</v>
      </c>
      <c r="E98" s="4" t="s">
        <v>173</v>
      </c>
      <c r="F98" s="4"/>
      <c r="G98" s="1" t="s">
        <v>40</v>
      </c>
      <c r="H98" s="1" t="s">
        <v>58</v>
      </c>
      <c r="I98" s="1" t="s">
        <v>198</v>
      </c>
    </row>
    <row r="99" spans="2:9" x14ac:dyDescent="0.4">
      <c r="B99" s="4">
        <v>15</v>
      </c>
      <c r="C99" s="1" t="s">
        <v>239</v>
      </c>
      <c r="D99" s="1" t="s">
        <v>56</v>
      </c>
      <c r="E99" s="4" t="s">
        <v>49</v>
      </c>
      <c r="F99" s="4"/>
      <c r="G99" s="1" t="s">
        <v>40</v>
      </c>
      <c r="H99" s="1" t="s">
        <v>59</v>
      </c>
      <c r="I99" s="1" t="s">
        <v>56</v>
      </c>
    </row>
    <row r="100" spans="2:9" x14ac:dyDescent="0.4">
      <c r="B100" s="16"/>
      <c r="C100" s="17"/>
      <c r="D100" s="17"/>
      <c r="E100" s="16"/>
      <c r="F100" s="16"/>
      <c r="G100" s="17"/>
      <c r="H100" s="17"/>
      <c r="I100" s="17"/>
    </row>
    <row r="101" spans="2:9" x14ac:dyDescent="0.4">
      <c r="B101" s="16"/>
      <c r="C101" s="17"/>
      <c r="D101" s="17"/>
      <c r="E101" s="16"/>
      <c r="F101" s="16"/>
      <c r="G101" s="17"/>
      <c r="H101" s="17"/>
      <c r="I101" s="17"/>
    </row>
    <row r="102" spans="2:9" x14ac:dyDescent="0.4">
      <c r="B102" s="16"/>
      <c r="C102" s="17"/>
      <c r="D102" s="17"/>
      <c r="E102" s="16"/>
      <c r="F102" s="16"/>
      <c r="G102" s="17"/>
      <c r="H102" s="17"/>
      <c r="I102" s="17"/>
    </row>
    <row r="103" spans="2:9" x14ac:dyDescent="0.4">
      <c r="B103" s="16"/>
      <c r="C103" s="17"/>
      <c r="D103" s="17"/>
      <c r="E103" s="16"/>
      <c r="F103" s="16"/>
      <c r="G103" s="17"/>
      <c r="H103" s="17"/>
      <c r="I103" s="17"/>
    </row>
    <row r="104" spans="2:9" x14ac:dyDescent="0.4">
      <c r="B104" s="16"/>
      <c r="C104" s="17"/>
      <c r="D104" s="17"/>
      <c r="E104" s="16"/>
      <c r="F104" s="16"/>
      <c r="G104" s="17"/>
      <c r="H104" s="17"/>
      <c r="I104" s="17"/>
    </row>
    <row r="105" spans="2:9" x14ac:dyDescent="0.4">
      <c r="B105" s="16"/>
      <c r="C105" s="17"/>
      <c r="D105" s="17"/>
      <c r="E105" s="16"/>
      <c r="F105" s="16"/>
      <c r="G105" s="17"/>
      <c r="H105" s="17"/>
      <c r="I105" s="17"/>
    </row>
    <row r="106" spans="2:9" x14ac:dyDescent="0.4">
      <c r="B106" s="16"/>
      <c r="C106" s="17"/>
      <c r="D106" s="17"/>
      <c r="E106" s="16"/>
      <c r="F106" s="16"/>
      <c r="G106" s="17"/>
      <c r="H106" s="17"/>
      <c r="I106" s="17"/>
    </row>
    <row r="107" spans="2:9" x14ac:dyDescent="0.4">
      <c r="F107" s="3"/>
    </row>
    <row r="108" spans="2:9" x14ac:dyDescent="0.4">
      <c r="B108" s="10" t="s">
        <v>28</v>
      </c>
      <c r="C108" s="11"/>
      <c r="D108" s="11"/>
      <c r="E108" s="11"/>
      <c r="F108" s="11"/>
      <c r="G108" s="11"/>
      <c r="H108" s="11"/>
      <c r="I108" s="12"/>
    </row>
    <row r="109" spans="2:9" x14ac:dyDescent="0.4">
      <c r="B109" s="5" t="s">
        <v>1</v>
      </c>
      <c r="C109" s="4" t="s">
        <v>266</v>
      </c>
      <c r="D109" s="5" t="s">
        <v>3</v>
      </c>
      <c r="E109" s="4" t="s">
        <v>136</v>
      </c>
      <c r="F109" s="5" t="s">
        <v>29</v>
      </c>
      <c r="G109" s="4" t="s">
        <v>38</v>
      </c>
      <c r="H109" s="5" t="s">
        <v>30</v>
      </c>
      <c r="I109" s="6">
        <v>44945</v>
      </c>
    </row>
    <row r="110" spans="2:9" x14ac:dyDescent="0.4">
      <c r="B110" s="5" t="s">
        <v>31</v>
      </c>
      <c r="C110" s="13" t="s">
        <v>140</v>
      </c>
      <c r="D110" s="13"/>
      <c r="E110" s="13"/>
      <c r="F110" s="13"/>
      <c r="G110" s="13"/>
      <c r="H110" s="13"/>
      <c r="I110" s="13"/>
    </row>
    <row r="111" spans="2:9" x14ac:dyDescent="0.4">
      <c r="B111" s="5" t="s">
        <v>32</v>
      </c>
      <c r="C111" s="5" t="s">
        <v>1</v>
      </c>
      <c r="D111" s="5" t="s">
        <v>3</v>
      </c>
      <c r="E111" s="5" t="s">
        <v>33</v>
      </c>
      <c r="F111" s="5" t="s">
        <v>34</v>
      </c>
      <c r="G111" s="5" t="s">
        <v>35</v>
      </c>
      <c r="H111" s="5" t="s">
        <v>22</v>
      </c>
      <c r="I111" s="5" t="s">
        <v>36</v>
      </c>
    </row>
    <row r="112" spans="2:9" x14ac:dyDescent="0.4">
      <c r="B112" s="4">
        <v>1</v>
      </c>
      <c r="C112" s="1" t="s">
        <v>132</v>
      </c>
      <c r="D112" s="1" t="s">
        <v>134</v>
      </c>
      <c r="E112" s="4" t="s">
        <v>173</v>
      </c>
      <c r="F112" s="4">
        <v>1</v>
      </c>
      <c r="G112" s="1" t="s">
        <v>40</v>
      </c>
      <c r="H112" s="1" t="s">
        <v>194</v>
      </c>
      <c r="I112" s="1" t="s">
        <v>134</v>
      </c>
    </row>
    <row r="113" spans="2:9" x14ac:dyDescent="0.4">
      <c r="B113" s="4">
        <v>2</v>
      </c>
      <c r="C113" s="1" t="s">
        <v>133</v>
      </c>
      <c r="D113" s="1" t="s">
        <v>135</v>
      </c>
      <c r="E113" s="4" t="s">
        <v>63</v>
      </c>
      <c r="F113" s="4"/>
      <c r="G113" s="1" t="s">
        <v>42</v>
      </c>
      <c r="H113" s="1" t="s">
        <v>58</v>
      </c>
      <c r="I113" s="1" t="s">
        <v>135</v>
      </c>
    </row>
    <row r="114" spans="2:9" x14ac:dyDescent="0.4">
      <c r="B114" s="4">
        <v>3</v>
      </c>
      <c r="C114" s="1" t="s">
        <v>163</v>
      </c>
      <c r="D114" s="1" t="s">
        <v>137</v>
      </c>
      <c r="E114" s="4" t="s">
        <v>92</v>
      </c>
      <c r="F114" s="4"/>
      <c r="G114" s="1" t="s">
        <v>42</v>
      </c>
      <c r="H114" s="1"/>
      <c r="I114" s="1" t="s">
        <v>137</v>
      </c>
    </row>
    <row r="115" spans="2:9" x14ac:dyDescent="0.4">
      <c r="B115" s="4">
        <v>4</v>
      </c>
      <c r="C115" s="1" t="s">
        <v>154</v>
      </c>
      <c r="D115" s="1" t="s">
        <v>138</v>
      </c>
      <c r="E115" s="4" t="s">
        <v>124</v>
      </c>
      <c r="F115" s="3"/>
      <c r="G115" s="1" t="s">
        <v>42</v>
      </c>
      <c r="H115" s="1" t="s">
        <v>58</v>
      </c>
      <c r="I115" s="1" t="s">
        <v>138</v>
      </c>
    </row>
    <row r="116" spans="2:9" x14ac:dyDescent="0.4">
      <c r="B116" s="4">
        <v>5</v>
      </c>
      <c r="C116" s="1" t="s">
        <v>195</v>
      </c>
      <c r="D116" s="1" t="s">
        <v>197</v>
      </c>
      <c r="E116" s="4" t="s">
        <v>173</v>
      </c>
      <c r="F116" s="4"/>
      <c r="G116" s="1" t="s">
        <v>40</v>
      </c>
      <c r="H116" s="1" t="s">
        <v>58</v>
      </c>
      <c r="I116" s="1" t="s">
        <v>197</v>
      </c>
    </row>
    <row r="117" spans="2:9" x14ac:dyDescent="0.4">
      <c r="B117" s="4">
        <v>6</v>
      </c>
      <c r="C117" s="1" t="s">
        <v>50</v>
      </c>
      <c r="D117" s="1" t="s">
        <v>55</v>
      </c>
      <c r="E117" s="4" t="s">
        <v>49</v>
      </c>
      <c r="F117" s="4"/>
      <c r="G117" s="1" t="s">
        <v>40</v>
      </c>
      <c r="H117" s="1" t="s">
        <v>59</v>
      </c>
      <c r="I117" s="1" t="s">
        <v>55</v>
      </c>
    </row>
    <row r="118" spans="2:9" x14ac:dyDescent="0.4">
      <c r="B118" s="4">
        <v>7</v>
      </c>
      <c r="C118" s="1" t="s">
        <v>241</v>
      </c>
      <c r="D118" s="1" t="s">
        <v>198</v>
      </c>
      <c r="E118" s="4" t="s">
        <v>173</v>
      </c>
      <c r="F118" s="4"/>
      <c r="G118" s="1" t="s">
        <v>40</v>
      </c>
      <c r="H118" s="1" t="s">
        <v>58</v>
      </c>
      <c r="I118" s="1" t="s">
        <v>198</v>
      </c>
    </row>
    <row r="119" spans="2:9" x14ac:dyDescent="0.4">
      <c r="B119" s="4">
        <v>8</v>
      </c>
      <c r="C119" s="1" t="s">
        <v>239</v>
      </c>
      <c r="D119" s="1" t="s">
        <v>56</v>
      </c>
      <c r="E119" s="4" t="s">
        <v>49</v>
      </c>
      <c r="F119" s="4"/>
      <c r="G119" s="1" t="s">
        <v>40</v>
      </c>
      <c r="H119" s="1" t="s">
        <v>59</v>
      </c>
      <c r="I119" s="1" t="s">
        <v>56</v>
      </c>
    </row>
    <row r="120" spans="2:9" x14ac:dyDescent="0.4">
      <c r="F120" s="3"/>
    </row>
    <row r="121" spans="2:9" x14ac:dyDescent="0.4">
      <c r="B121" s="10" t="s">
        <v>28</v>
      </c>
      <c r="C121" s="11"/>
      <c r="D121" s="11"/>
      <c r="E121" s="11"/>
      <c r="F121" s="11"/>
      <c r="G121" s="11"/>
      <c r="H121" s="11"/>
      <c r="I121" s="12"/>
    </row>
    <row r="122" spans="2:9" x14ac:dyDescent="0.4">
      <c r="B122" s="5" t="s">
        <v>1</v>
      </c>
      <c r="C122" s="4" t="s">
        <v>267</v>
      </c>
      <c r="D122" s="5" t="s">
        <v>3</v>
      </c>
      <c r="E122" s="4" t="s">
        <v>139</v>
      </c>
      <c r="F122" s="5" t="s">
        <v>29</v>
      </c>
      <c r="G122" s="4" t="s">
        <v>38</v>
      </c>
      <c r="H122" s="5" t="s">
        <v>30</v>
      </c>
      <c r="I122" s="6">
        <v>44945</v>
      </c>
    </row>
    <row r="123" spans="2:9" x14ac:dyDescent="0.4">
      <c r="B123" s="5" t="s">
        <v>31</v>
      </c>
      <c r="C123" s="13" t="s">
        <v>141</v>
      </c>
      <c r="D123" s="13"/>
      <c r="E123" s="13"/>
      <c r="F123" s="13"/>
      <c r="G123" s="13"/>
      <c r="H123" s="13"/>
      <c r="I123" s="13"/>
    </row>
    <row r="124" spans="2:9" x14ac:dyDescent="0.4">
      <c r="B124" s="5" t="s">
        <v>32</v>
      </c>
      <c r="C124" s="5" t="s">
        <v>1</v>
      </c>
      <c r="D124" s="5" t="s">
        <v>3</v>
      </c>
      <c r="E124" s="5" t="s">
        <v>33</v>
      </c>
      <c r="F124" s="5" t="s">
        <v>34</v>
      </c>
      <c r="G124" s="5" t="s">
        <v>35</v>
      </c>
      <c r="H124" s="5" t="s">
        <v>22</v>
      </c>
      <c r="I124" s="5" t="s">
        <v>36</v>
      </c>
    </row>
    <row r="125" spans="2:9" x14ac:dyDescent="0.4">
      <c r="B125" s="4">
        <v>1</v>
      </c>
      <c r="C125" s="1" t="s">
        <v>192</v>
      </c>
      <c r="D125" s="1" t="s">
        <v>77</v>
      </c>
      <c r="E125" s="4" t="s">
        <v>173</v>
      </c>
      <c r="F125" s="4">
        <v>1</v>
      </c>
      <c r="G125" s="1" t="s">
        <v>41</v>
      </c>
      <c r="H125" s="1"/>
      <c r="I125" s="1" t="s">
        <v>77</v>
      </c>
    </row>
    <row r="126" spans="2:9" x14ac:dyDescent="0.4">
      <c r="B126" s="4">
        <v>2</v>
      </c>
      <c r="C126" s="1" t="s">
        <v>132</v>
      </c>
      <c r="D126" s="1" t="s">
        <v>134</v>
      </c>
      <c r="E126" s="4" t="s">
        <v>67</v>
      </c>
      <c r="F126" s="4">
        <v>2</v>
      </c>
      <c r="G126" s="1" t="s">
        <v>40</v>
      </c>
      <c r="H126" s="1" t="s">
        <v>58</v>
      </c>
      <c r="I126" s="1" t="s">
        <v>134</v>
      </c>
    </row>
    <row r="127" spans="2:9" x14ac:dyDescent="0.4">
      <c r="B127" s="4">
        <v>3</v>
      </c>
      <c r="C127" s="1" t="s">
        <v>195</v>
      </c>
      <c r="D127" s="1" t="s">
        <v>197</v>
      </c>
      <c r="E127" s="4" t="s">
        <v>173</v>
      </c>
      <c r="F127" s="4"/>
      <c r="G127" s="1" t="s">
        <v>40</v>
      </c>
      <c r="H127" s="1" t="s">
        <v>58</v>
      </c>
      <c r="I127" s="1" t="s">
        <v>197</v>
      </c>
    </row>
    <row r="128" spans="2:9" x14ac:dyDescent="0.4">
      <c r="B128" s="4">
        <v>4</v>
      </c>
      <c r="C128" s="1" t="s">
        <v>50</v>
      </c>
      <c r="D128" s="1" t="s">
        <v>55</v>
      </c>
      <c r="E128" s="4" t="s">
        <v>49</v>
      </c>
      <c r="F128" s="4"/>
      <c r="G128" s="1" t="s">
        <v>40</v>
      </c>
      <c r="H128" s="1" t="s">
        <v>59</v>
      </c>
      <c r="I128" s="1" t="s">
        <v>55</v>
      </c>
    </row>
    <row r="129" spans="2:9" x14ac:dyDescent="0.4">
      <c r="B129" s="4">
        <v>5</v>
      </c>
      <c r="C129" s="1" t="s">
        <v>241</v>
      </c>
      <c r="D129" s="1" t="s">
        <v>198</v>
      </c>
      <c r="E129" s="4" t="s">
        <v>173</v>
      </c>
      <c r="F129" s="4"/>
      <c r="G129" s="1" t="s">
        <v>40</v>
      </c>
      <c r="H129" s="1" t="s">
        <v>58</v>
      </c>
      <c r="I129" s="1" t="s">
        <v>198</v>
      </c>
    </row>
    <row r="130" spans="2:9" x14ac:dyDescent="0.4">
      <c r="B130" s="4">
        <v>6</v>
      </c>
      <c r="C130" s="1" t="s">
        <v>239</v>
      </c>
      <c r="D130" s="1" t="s">
        <v>56</v>
      </c>
      <c r="E130" s="4" t="s">
        <v>49</v>
      </c>
      <c r="F130" s="4"/>
      <c r="G130" s="1" t="s">
        <v>40</v>
      </c>
      <c r="H130" s="1" t="s">
        <v>59</v>
      </c>
      <c r="I130" s="1" t="s">
        <v>56</v>
      </c>
    </row>
    <row r="131" spans="2:9" x14ac:dyDescent="0.4">
      <c r="F131" s="3"/>
    </row>
    <row r="132" spans="2:9" x14ac:dyDescent="0.4">
      <c r="B132" s="5" t="s">
        <v>32</v>
      </c>
      <c r="C132" s="14" t="s">
        <v>44</v>
      </c>
      <c r="D132" s="14"/>
      <c r="E132" s="14"/>
      <c r="F132" s="14" t="s">
        <v>45</v>
      </c>
      <c r="G132" s="14"/>
      <c r="H132" s="14"/>
      <c r="I132" s="14"/>
    </row>
    <row r="133" spans="2:9" x14ac:dyDescent="0.4">
      <c r="B133" s="4">
        <v>1</v>
      </c>
      <c r="C133" s="15" t="str">
        <f>_xlfn.CONCAT("PK_",C122)</f>
        <v>PK_tb_user_role_map</v>
      </c>
      <c r="D133" s="15"/>
      <c r="E133" s="15"/>
      <c r="F133" s="15" t="str">
        <f>C125</f>
        <v>USER_SEQ</v>
      </c>
      <c r="G133" s="15"/>
      <c r="H133" s="15"/>
      <c r="I133" s="15"/>
    </row>
    <row r="134" spans="2:9" x14ac:dyDescent="0.4">
      <c r="B134" s="4">
        <v>2</v>
      </c>
      <c r="C134" s="15" t="str">
        <f>_xlfn.CONCAT("PK_",C122)</f>
        <v>PK_tb_user_role_map</v>
      </c>
      <c r="D134" s="15"/>
      <c r="E134" s="15"/>
      <c r="F134" s="15" t="str">
        <f>C126</f>
        <v>ROLE_SEQ</v>
      </c>
      <c r="G134" s="15"/>
      <c r="H134" s="15"/>
      <c r="I134" s="15"/>
    </row>
    <row r="135" spans="2:9" x14ac:dyDescent="0.4">
      <c r="F135" s="3"/>
    </row>
    <row r="136" spans="2:9" x14ac:dyDescent="0.4">
      <c r="B136" s="10" t="s">
        <v>28</v>
      </c>
      <c r="C136" s="11"/>
      <c r="D136" s="11"/>
      <c r="E136" s="11"/>
      <c r="F136" s="11"/>
      <c r="G136" s="11"/>
      <c r="H136" s="11"/>
      <c r="I136" s="12"/>
    </row>
    <row r="137" spans="2:9" x14ac:dyDescent="0.4">
      <c r="B137" s="5" t="s">
        <v>1</v>
      </c>
      <c r="C137" s="4" t="s">
        <v>268</v>
      </c>
      <c r="D137" s="5" t="s">
        <v>3</v>
      </c>
      <c r="E137" s="4" t="s">
        <v>142</v>
      </c>
      <c r="F137" s="5" t="s">
        <v>29</v>
      </c>
      <c r="G137" s="4" t="s">
        <v>38</v>
      </c>
      <c r="H137" s="5" t="s">
        <v>30</v>
      </c>
      <c r="I137" s="6">
        <v>44945</v>
      </c>
    </row>
    <row r="138" spans="2:9" x14ac:dyDescent="0.4">
      <c r="B138" s="5" t="s">
        <v>31</v>
      </c>
      <c r="C138" s="13" t="s">
        <v>143</v>
      </c>
      <c r="D138" s="13"/>
      <c r="E138" s="13"/>
      <c r="F138" s="13"/>
      <c r="G138" s="13"/>
      <c r="H138" s="13"/>
      <c r="I138" s="13"/>
    </row>
    <row r="139" spans="2:9" x14ac:dyDescent="0.4">
      <c r="B139" s="5" t="s">
        <v>32</v>
      </c>
      <c r="C139" s="5" t="s">
        <v>1</v>
      </c>
      <c r="D139" s="5" t="s">
        <v>3</v>
      </c>
      <c r="E139" s="5" t="s">
        <v>33</v>
      </c>
      <c r="F139" s="5" t="s">
        <v>34</v>
      </c>
      <c r="G139" s="5" t="s">
        <v>35</v>
      </c>
      <c r="H139" s="5" t="s">
        <v>22</v>
      </c>
      <c r="I139" s="5" t="s">
        <v>36</v>
      </c>
    </row>
    <row r="140" spans="2:9" x14ac:dyDescent="0.4">
      <c r="B140" s="4">
        <v>1</v>
      </c>
      <c r="C140" s="1" t="s">
        <v>130</v>
      </c>
      <c r="D140" s="1" t="s">
        <v>131</v>
      </c>
      <c r="E140" s="4" t="s">
        <v>173</v>
      </c>
      <c r="F140" s="4">
        <v>1</v>
      </c>
      <c r="G140" s="1" t="s">
        <v>40</v>
      </c>
      <c r="H140" s="1"/>
      <c r="I140" s="1" t="s">
        <v>131</v>
      </c>
    </row>
    <row r="141" spans="2:9" x14ac:dyDescent="0.4">
      <c r="B141" s="4">
        <v>2</v>
      </c>
      <c r="C141" s="1" t="s">
        <v>132</v>
      </c>
      <c r="D141" s="1" t="s">
        <v>134</v>
      </c>
      <c r="E141" s="4" t="s">
        <v>67</v>
      </c>
      <c r="F141" s="4">
        <v>2</v>
      </c>
      <c r="G141" s="1" t="s">
        <v>40</v>
      </c>
      <c r="H141" s="1" t="s">
        <v>58</v>
      </c>
      <c r="I141" s="1" t="s">
        <v>134</v>
      </c>
    </row>
    <row r="142" spans="2:9" x14ac:dyDescent="0.4">
      <c r="B142" s="4">
        <v>3</v>
      </c>
      <c r="C142" s="1" t="s">
        <v>144</v>
      </c>
      <c r="D142" s="1" t="s">
        <v>145</v>
      </c>
      <c r="E142" s="4" t="s">
        <v>126</v>
      </c>
      <c r="F142" s="4"/>
      <c r="G142" s="1" t="s">
        <v>42</v>
      </c>
      <c r="H142" s="1" t="s">
        <v>58</v>
      </c>
      <c r="I142" s="1" t="s">
        <v>152</v>
      </c>
    </row>
    <row r="143" spans="2:9" x14ac:dyDescent="0.4">
      <c r="B143" s="4">
        <v>4</v>
      </c>
      <c r="C143" s="1" t="s">
        <v>146</v>
      </c>
      <c r="D143" s="1" t="s">
        <v>147</v>
      </c>
      <c r="E143" s="4" t="s">
        <v>151</v>
      </c>
      <c r="F143" s="4"/>
      <c r="G143" s="1" t="s">
        <v>42</v>
      </c>
      <c r="H143" s="1" t="s">
        <v>58</v>
      </c>
      <c r="I143" s="1" t="s">
        <v>153</v>
      </c>
    </row>
    <row r="144" spans="2:9" x14ac:dyDescent="0.4">
      <c r="B144" s="4">
        <v>5</v>
      </c>
      <c r="C144" s="1" t="s">
        <v>195</v>
      </c>
      <c r="D144" s="1" t="s">
        <v>197</v>
      </c>
      <c r="E144" s="4" t="s">
        <v>173</v>
      </c>
      <c r="F144" s="4"/>
      <c r="G144" s="1" t="s">
        <v>40</v>
      </c>
      <c r="H144" s="1" t="s">
        <v>58</v>
      </c>
      <c r="I144" s="1" t="s">
        <v>197</v>
      </c>
    </row>
    <row r="145" spans="2:9" x14ac:dyDescent="0.4">
      <c r="B145" s="4">
        <v>6</v>
      </c>
      <c r="C145" s="1" t="s">
        <v>50</v>
      </c>
      <c r="D145" s="1" t="s">
        <v>55</v>
      </c>
      <c r="E145" s="4" t="s">
        <v>49</v>
      </c>
      <c r="F145" s="4"/>
      <c r="G145" s="1" t="s">
        <v>40</v>
      </c>
      <c r="H145" s="1" t="s">
        <v>59</v>
      </c>
      <c r="I145" s="1" t="s">
        <v>55</v>
      </c>
    </row>
    <row r="146" spans="2:9" x14ac:dyDescent="0.4">
      <c r="B146" s="4">
        <v>7</v>
      </c>
      <c r="C146" s="1" t="s">
        <v>241</v>
      </c>
      <c r="D146" s="1" t="s">
        <v>198</v>
      </c>
      <c r="E146" s="4" t="s">
        <v>173</v>
      </c>
      <c r="F146" s="4"/>
      <c r="G146" s="1" t="s">
        <v>40</v>
      </c>
      <c r="H146" s="1" t="s">
        <v>58</v>
      </c>
      <c r="I146" s="1" t="s">
        <v>198</v>
      </c>
    </row>
    <row r="147" spans="2:9" x14ac:dyDescent="0.4">
      <c r="B147" s="4">
        <v>8</v>
      </c>
      <c r="C147" s="1" t="s">
        <v>239</v>
      </c>
      <c r="D147" s="1" t="s">
        <v>56</v>
      </c>
      <c r="E147" s="4" t="s">
        <v>49</v>
      </c>
      <c r="F147" s="4"/>
      <c r="G147" s="1" t="s">
        <v>40</v>
      </c>
      <c r="H147" s="1" t="s">
        <v>59</v>
      </c>
      <c r="I147" s="1" t="s">
        <v>56</v>
      </c>
    </row>
    <row r="148" spans="2:9" x14ac:dyDescent="0.4">
      <c r="F148" s="3"/>
    </row>
    <row r="149" spans="2:9" x14ac:dyDescent="0.4">
      <c r="B149" s="5" t="s">
        <v>32</v>
      </c>
      <c r="C149" s="14" t="s">
        <v>44</v>
      </c>
      <c r="D149" s="14"/>
      <c r="E149" s="14"/>
      <c r="F149" s="14" t="s">
        <v>45</v>
      </c>
      <c r="G149" s="14"/>
      <c r="H149" s="14"/>
      <c r="I149" s="14"/>
    </row>
    <row r="150" spans="2:9" x14ac:dyDescent="0.4">
      <c r="B150" s="4">
        <v>1</v>
      </c>
      <c r="C150" s="15" t="str">
        <f>_xlfn.CONCAT("PK_",C137)</f>
        <v>PK_tb_auth</v>
      </c>
      <c r="D150" s="15"/>
      <c r="E150" s="15"/>
      <c r="F150" s="15" t="str">
        <f>C140</f>
        <v>MNU_SEQ</v>
      </c>
      <c r="G150" s="15"/>
      <c r="H150" s="15"/>
      <c r="I150" s="15"/>
    </row>
    <row r="151" spans="2:9" x14ac:dyDescent="0.4">
      <c r="B151" s="4">
        <v>2</v>
      </c>
      <c r="C151" s="15" t="str">
        <f>_xlfn.CONCAT("PK_",C137)</f>
        <v>PK_tb_auth</v>
      </c>
      <c r="D151" s="15"/>
      <c r="E151" s="15"/>
      <c r="F151" s="15" t="str">
        <f>C141</f>
        <v>ROLE_SEQ</v>
      </c>
      <c r="G151" s="15"/>
      <c r="H151" s="15"/>
      <c r="I151" s="15"/>
    </row>
    <row r="152" spans="2:9" x14ac:dyDescent="0.4">
      <c r="F152" s="3"/>
    </row>
    <row r="153" spans="2:9" x14ac:dyDescent="0.4">
      <c r="B153" s="10" t="s">
        <v>28</v>
      </c>
      <c r="C153" s="11"/>
      <c r="D153" s="11"/>
      <c r="E153" s="11"/>
      <c r="F153" s="11"/>
      <c r="G153" s="11"/>
      <c r="H153" s="11"/>
      <c r="I153" s="12"/>
    </row>
    <row r="154" spans="2:9" x14ac:dyDescent="0.4">
      <c r="B154" s="5" t="s">
        <v>1</v>
      </c>
      <c r="C154" s="4" t="s">
        <v>269</v>
      </c>
      <c r="D154" s="5" t="s">
        <v>3</v>
      </c>
      <c r="E154" s="4" t="s">
        <v>229</v>
      </c>
      <c r="F154" s="5" t="s">
        <v>29</v>
      </c>
      <c r="G154" s="4" t="s">
        <v>38</v>
      </c>
      <c r="H154" s="5" t="s">
        <v>30</v>
      </c>
      <c r="I154" s="6">
        <v>45840</v>
      </c>
    </row>
    <row r="155" spans="2:9" x14ac:dyDescent="0.4">
      <c r="B155" s="5" t="s">
        <v>31</v>
      </c>
      <c r="C155" s="13" t="s">
        <v>230</v>
      </c>
      <c r="D155" s="13"/>
      <c r="E155" s="13"/>
      <c r="F155" s="13"/>
      <c r="G155" s="13"/>
      <c r="H155" s="13"/>
      <c r="I155" s="13"/>
    </row>
    <row r="156" spans="2:9" x14ac:dyDescent="0.4">
      <c r="B156" s="5" t="s">
        <v>32</v>
      </c>
      <c r="C156" s="5" t="s">
        <v>1</v>
      </c>
      <c r="D156" s="5" t="s">
        <v>3</v>
      </c>
      <c r="E156" s="5" t="s">
        <v>33</v>
      </c>
      <c r="F156" s="5" t="s">
        <v>34</v>
      </c>
      <c r="G156" s="5" t="s">
        <v>35</v>
      </c>
      <c r="H156" s="5" t="s">
        <v>22</v>
      </c>
      <c r="I156" s="5" t="s">
        <v>36</v>
      </c>
    </row>
    <row r="157" spans="2:9" x14ac:dyDescent="0.4">
      <c r="B157" s="4">
        <v>1</v>
      </c>
      <c r="C157" s="1" t="s">
        <v>160</v>
      </c>
      <c r="D157" s="1" t="s">
        <v>77</v>
      </c>
      <c r="E157" s="4" t="s">
        <v>46</v>
      </c>
      <c r="F157" s="4">
        <v>1</v>
      </c>
      <c r="G157" s="1" t="s">
        <v>40</v>
      </c>
      <c r="H157" s="1" t="s">
        <v>58</v>
      </c>
      <c r="I157" s="1" t="s">
        <v>77</v>
      </c>
    </row>
    <row r="158" spans="2:9" x14ac:dyDescent="0.4">
      <c r="B158" s="4">
        <v>2</v>
      </c>
      <c r="C158" s="1" t="s">
        <v>231</v>
      </c>
      <c r="D158" s="1" t="s">
        <v>229</v>
      </c>
      <c r="E158" s="4" t="s">
        <v>124</v>
      </c>
      <c r="F158" s="4"/>
      <c r="G158" s="1" t="s">
        <v>43</v>
      </c>
      <c r="H158" s="1"/>
      <c r="I158" s="1" t="s">
        <v>229</v>
      </c>
    </row>
    <row r="159" spans="2:9" x14ac:dyDescent="0.4">
      <c r="B159" s="4">
        <v>3</v>
      </c>
      <c r="C159" s="1" t="s">
        <v>233</v>
      </c>
      <c r="D159" s="1" t="s">
        <v>235</v>
      </c>
      <c r="E159" s="4" t="s">
        <v>21</v>
      </c>
      <c r="F159" s="4"/>
      <c r="G159" s="1" t="s">
        <v>43</v>
      </c>
      <c r="H159" s="1" t="s">
        <v>27</v>
      </c>
      <c r="I159" s="1" t="s">
        <v>235</v>
      </c>
    </row>
    <row r="160" spans="2:9" x14ac:dyDescent="0.4">
      <c r="B160" s="4">
        <v>4</v>
      </c>
      <c r="C160" s="1" t="s">
        <v>234</v>
      </c>
      <c r="D160" s="1" t="s">
        <v>232</v>
      </c>
      <c r="E160" s="4" t="s">
        <v>49</v>
      </c>
      <c r="F160" s="4"/>
      <c r="G160" s="1" t="s">
        <v>43</v>
      </c>
      <c r="H160" s="7"/>
      <c r="I160" s="1" t="s">
        <v>232</v>
      </c>
    </row>
    <row r="161" spans="2:9" x14ac:dyDescent="0.4">
      <c r="B161" s="4">
        <v>5</v>
      </c>
      <c r="C161" s="1" t="s">
        <v>236</v>
      </c>
      <c r="D161" s="1" t="s">
        <v>237</v>
      </c>
      <c r="E161" s="4" t="s">
        <v>124</v>
      </c>
      <c r="F161" s="4"/>
      <c r="G161" s="1" t="s">
        <v>43</v>
      </c>
      <c r="H161" s="1" t="s">
        <v>58</v>
      </c>
      <c r="I161" s="1" t="s">
        <v>237</v>
      </c>
    </row>
    <row r="162" spans="2:9" x14ac:dyDescent="0.4">
      <c r="B162" s="4">
        <v>6</v>
      </c>
      <c r="C162" s="1" t="s">
        <v>195</v>
      </c>
      <c r="D162" s="1" t="s">
        <v>128</v>
      </c>
      <c r="E162" s="4" t="s">
        <v>46</v>
      </c>
      <c r="F162" s="4"/>
      <c r="G162" s="1" t="s">
        <v>40</v>
      </c>
      <c r="H162" s="1" t="s">
        <v>58</v>
      </c>
      <c r="I162" s="1" t="s">
        <v>197</v>
      </c>
    </row>
    <row r="163" spans="2:9" x14ac:dyDescent="0.4">
      <c r="B163" s="4">
        <v>7</v>
      </c>
      <c r="C163" s="1" t="s">
        <v>238</v>
      </c>
      <c r="D163" s="1" t="s">
        <v>55</v>
      </c>
      <c r="E163" s="4" t="s">
        <v>49</v>
      </c>
      <c r="F163" s="4"/>
      <c r="G163" s="1" t="s">
        <v>40</v>
      </c>
      <c r="H163" s="1" t="s">
        <v>27</v>
      </c>
      <c r="I163" s="1" t="s">
        <v>55</v>
      </c>
    </row>
    <row r="164" spans="2:9" x14ac:dyDescent="0.4">
      <c r="B164" s="4">
        <v>8</v>
      </c>
      <c r="C164" s="1" t="s">
        <v>241</v>
      </c>
      <c r="D164" s="1" t="s">
        <v>129</v>
      </c>
      <c r="E164" s="4" t="s">
        <v>46</v>
      </c>
      <c r="F164" s="4"/>
      <c r="G164" s="1" t="s">
        <v>40</v>
      </c>
      <c r="H164" s="1" t="s">
        <v>58</v>
      </c>
      <c r="I164" s="1" t="s">
        <v>198</v>
      </c>
    </row>
    <row r="165" spans="2:9" x14ac:dyDescent="0.4">
      <c r="B165" s="4">
        <v>9</v>
      </c>
      <c r="C165" s="1" t="s">
        <v>240</v>
      </c>
      <c r="D165" s="1" t="s">
        <v>56</v>
      </c>
      <c r="E165" s="4" t="s">
        <v>49</v>
      </c>
      <c r="F165" s="4"/>
      <c r="G165" s="1" t="s">
        <v>40</v>
      </c>
      <c r="H165" s="1" t="s">
        <v>59</v>
      </c>
      <c r="I165" s="1" t="s">
        <v>56</v>
      </c>
    </row>
    <row r="166" spans="2:9" x14ac:dyDescent="0.4">
      <c r="F166" s="3"/>
    </row>
    <row r="167" spans="2:9" x14ac:dyDescent="0.4">
      <c r="B167" s="5" t="s">
        <v>32</v>
      </c>
      <c r="C167" s="14" t="s">
        <v>44</v>
      </c>
      <c r="D167" s="14"/>
      <c r="E167" s="14"/>
      <c r="F167" s="14" t="s">
        <v>45</v>
      </c>
      <c r="G167" s="14"/>
      <c r="H167" s="14"/>
      <c r="I167" s="14"/>
    </row>
    <row r="168" spans="2:9" x14ac:dyDescent="0.4">
      <c r="B168" s="4">
        <v>1</v>
      </c>
      <c r="C168" s="15" t="str">
        <f>_xlfn.CONCAT("PK_",C154)</f>
        <v>PK_tb_token</v>
      </c>
      <c r="D168" s="15"/>
      <c r="E168" s="15"/>
      <c r="F168" s="15" t="str">
        <f>C157</f>
        <v>USER_ID</v>
      </c>
      <c r="G168" s="15"/>
      <c r="H168" s="15"/>
      <c r="I168" s="15"/>
    </row>
    <row r="170" spans="2:9" x14ac:dyDescent="0.4">
      <c r="B170" s="10" t="s">
        <v>28</v>
      </c>
      <c r="C170" s="11"/>
      <c r="D170" s="11"/>
      <c r="E170" s="11"/>
      <c r="F170" s="11"/>
      <c r="G170" s="11"/>
      <c r="H170" s="11"/>
      <c r="I170" s="12"/>
    </row>
    <row r="171" spans="2:9" x14ac:dyDescent="0.4">
      <c r="B171" s="5" t="s">
        <v>1</v>
      </c>
      <c r="C171" s="4" t="s">
        <v>270</v>
      </c>
      <c r="D171" s="5" t="s">
        <v>3</v>
      </c>
      <c r="E171" s="4" t="s">
        <v>183</v>
      </c>
      <c r="F171" s="5" t="s">
        <v>29</v>
      </c>
      <c r="G171" s="4" t="s">
        <v>38</v>
      </c>
      <c r="H171" s="5" t="s">
        <v>30</v>
      </c>
      <c r="I171" s="6">
        <v>45404</v>
      </c>
    </row>
    <row r="172" spans="2:9" x14ac:dyDescent="0.4">
      <c r="B172" s="5" t="s">
        <v>31</v>
      </c>
      <c r="C172" s="13" t="s">
        <v>208</v>
      </c>
      <c r="D172" s="13"/>
      <c r="E172" s="13"/>
      <c r="F172" s="13"/>
      <c r="G172" s="13"/>
      <c r="H172" s="13"/>
      <c r="I172" s="13"/>
    </row>
    <row r="173" spans="2:9" x14ac:dyDescent="0.4">
      <c r="B173" s="5" t="s">
        <v>32</v>
      </c>
      <c r="C173" s="5" t="s">
        <v>1</v>
      </c>
      <c r="D173" s="5" t="s">
        <v>3</v>
      </c>
      <c r="E173" s="5" t="s">
        <v>33</v>
      </c>
      <c r="F173" s="5" t="s">
        <v>34</v>
      </c>
      <c r="G173" s="5" t="s">
        <v>35</v>
      </c>
      <c r="H173" s="5" t="s">
        <v>22</v>
      </c>
      <c r="I173" s="5" t="s">
        <v>36</v>
      </c>
    </row>
    <row r="174" spans="2:9" x14ac:dyDescent="0.4">
      <c r="B174" s="4">
        <v>1</v>
      </c>
      <c r="C174" s="1" t="s">
        <v>184</v>
      </c>
      <c r="D174" s="1" t="s">
        <v>185</v>
      </c>
      <c r="E174" s="4" t="s">
        <v>173</v>
      </c>
      <c r="F174" s="4">
        <v>1</v>
      </c>
      <c r="G174" s="1" t="s">
        <v>40</v>
      </c>
      <c r="H174" s="1" t="s">
        <v>194</v>
      </c>
      <c r="I174" s="1" t="s">
        <v>185</v>
      </c>
    </row>
    <row r="175" spans="2:9" x14ac:dyDescent="0.4">
      <c r="B175" s="4">
        <v>2</v>
      </c>
      <c r="C175" s="1" t="s">
        <v>186</v>
      </c>
      <c r="D175" s="1" t="s">
        <v>174</v>
      </c>
      <c r="E175" s="4" t="s">
        <v>151</v>
      </c>
      <c r="F175" s="4"/>
      <c r="G175" s="1" t="s">
        <v>43</v>
      </c>
      <c r="H175" s="1"/>
      <c r="I175" s="1" t="s">
        <v>174</v>
      </c>
    </row>
    <row r="176" spans="2:9" x14ac:dyDescent="0.4">
      <c r="B176" s="4">
        <v>3</v>
      </c>
      <c r="C176" s="1" t="s">
        <v>171</v>
      </c>
      <c r="D176" s="1" t="s">
        <v>172</v>
      </c>
      <c r="E176" s="4" t="s">
        <v>173</v>
      </c>
      <c r="F176" s="4"/>
      <c r="G176" s="1" t="s">
        <v>43</v>
      </c>
      <c r="H176" s="1"/>
      <c r="I176" s="1" t="s">
        <v>211</v>
      </c>
    </row>
    <row r="177" spans="2:9" x14ac:dyDescent="0.4">
      <c r="B177" s="4">
        <v>4</v>
      </c>
      <c r="C177" s="1" t="s">
        <v>204</v>
      </c>
      <c r="D177" s="1" t="s">
        <v>203</v>
      </c>
      <c r="E177" s="4" t="s">
        <v>173</v>
      </c>
      <c r="F177" s="4"/>
      <c r="G177" s="1" t="s">
        <v>43</v>
      </c>
      <c r="H177" s="1"/>
      <c r="I177" s="1" t="s">
        <v>203</v>
      </c>
    </row>
    <row r="178" spans="2:9" x14ac:dyDescent="0.4">
      <c r="B178" s="4">
        <v>5</v>
      </c>
      <c r="C178" s="1" t="s">
        <v>165</v>
      </c>
      <c r="D178" s="1" t="s">
        <v>180</v>
      </c>
      <c r="E178" s="4" t="s">
        <v>308</v>
      </c>
      <c r="F178" s="4"/>
      <c r="G178" s="1" t="s">
        <v>43</v>
      </c>
      <c r="H178" s="1" t="s">
        <v>58</v>
      </c>
      <c r="I178" s="1" t="s">
        <v>180</v>
      </c>
    </row>
    <row r="179" spans="2:9" x14ac:dyDescent="0.4">
      <c r="B179" s="4">
        <v>6</v>
      </c>
      <c r="C179" s="1" t="s">
        <v>187</v>
      </c>
      <c r="D179" s="1" t="s">
        <v>188</v>
      </c>
      <c r="E179" s="4" t="s">
        <v>105</v>
      </c>
      <c r="F179" s="4"/>
      <c r="G179" s="1"/>
      <c r="H179" s="1"/>
      <c r="I179" s="1" t="s">
        <v>189</v>
      </c>
    </row>
    <row r="180" spans="2:9" x14ac:dyDescent="0.4">
      <c r="B180" s="4">
        <v>7</v>
      </c>
      <c r="C180" s="1" t="s">
        <v>199</v>
      </c>
      <c r="D180" s="1" t="s">
        <v>200</v>
      </c>
      <c r="E180" s="4" t="s">
        <v>24</v>
      </c>
      <c r="F180" s="4"/>
      <c r="G180" s="1" t="s">
        <v>43</v>
      </c>
      <c r="H180" s="7"/>
      <c r="I180" s="1" t="s">
        <v>200</v>
      </c>
    </row>
    <row r="181" spans="2:9" x14ac:dyDescent="0.4">
      <c r="B181" s="4">
        <v>8</v>
      </c>
      <c r="C181" s="1" t="s">
        <v>201</v>
      </c>
      <c r="D181" s="1" t="s">
        <v>202</v>
      </c>
      <c r="E181" s="4" t="s">
        <v>24</v>
      </c>
      <c r="F181" s="4"/>
      <c r="G181" s="1" t="s">
        <v>43</v>
      </c>
      <c r="H181" s="7"/>
      <c r="I181" s="1" t="s">
        <v>202</v>
      </c>
    </row>
    <row r="182" spans="2:9" x14ac:dyDescent="0.4">
      <c r="B182" s="4">
        <v>9</v>
      </c>
      <c r="C182" s="1" t="s">
        <v>212</v>
      </c>
      <c r="D182" s="1" t="s">
        <v>213</v>
      </c>
      <c r="E182" s="4" t="s">
        <v>169</v>
      </c>
      <c r="F182" s="4"/>
      <c r="G182" s="1" t="s">
        <v>43</v>
      </c>
      <c r="H182" s="7" t="s">
        <v>214</v>
      </c>
      <c r="I182" s="1" t="s">
        <v>213</v>
      </c>
    </row>
    <row r="183" spans="2:9" x14ac:dyDescent="0.4">
      <c r="B183" s="4">
        <v>10</v>
      </c>
      <c r="C183" s="1" t="s">
        <v>167</v>
      </c>
      <c r="D183" s="1" t="s">
        <v>168</v>
      </c>
      <c r="E183" s="4" t="s">
        <v>169</v>
      </c>
      <c r="F183" s="4"/>
      <c r="G183" s="1" t="s">
        <v>43</v>
      </c>
      <c r="H183" s="7" t="s">
        <v>170</v>
      </c>
      <c r="I183" s="1" t="s">
        <v>168</v>
      </c>
    </row>
    <row r="184" spans="2:9" x14ac:dyDescent="0.4">
      <c r="B184" s="4">
        <v>11</v>
      </c>
      <c r="C184" s="1" t="s">
        <v>195</v>
      </c>
      <c r="D184" s="1" t="s">
        <v>197</v>
      </c>
      <c r="E184" s="4" t="s">
        <v>173</v>
      </c>
      <c r="F184" s="4"/>
      <c r="G184" s="1" t="s">
        <v>40</v>
      </c>
      <c r="H184" s="1" t="s">
        <v>58</v>
      </c>
      <c r="I184" s="1" t="s">
        <v>197</v>
      </c>
    </row>
    <row r="185" spans="2:9" x14ac:dyDescent="0.4">
      <c r="B185" s="4">
        <v>12</v>
      </c>
      <c r="C185" s="1" t="s">
        <v>50</v>
      </c>
      <c r="D185" s="1" t="s">
        <v>55</v>
      </c>
      <c r="E185" s="4" t="s">
        <v>49</v>
      </c>
      <c r="F185" s="4"/>
      <c r="G185" s="1" t="s">
        <v>40</v>
      </c>
      <c r="H185" s="1" t="s">
        <v>59</v>
      </c>
      <c r="I185" s="1" t="s">
        <v>55</v>
      </c>
    </row>
    <row r="186" spans="2:9" x14ac:dyDescent="0.4">
      <c r="B186" s="4">
        <v>13</v>
      </c>
      <c r="C186" s="1" t="s">
        <v>241</v>
      </c>
      <c r="D186" s="1" t="s">
        <v>198</v>
      </c>
      <c r="E186" s="4" t="s">
        <v>173</v>
      </c>
      <c r="F186" s="4"/>
      <c r="G186" s="1" t="s">
        <v>40</v>
      </c>
      <c r="H186" s="1" t="s">
        <v>58</v>
      </c>
      <c r="I186" s="1" t="s">
        <v>198</v>
      </c>
    </row>
    <row r="187" spans="2:9" x14ac:dyDescent="0.4">
      <c r="B187" s="4">
        <v>14</v>
      </c>
      <c r="C187" s="1" t="s">
        <v>239</v>
      </c>
      <c r="D187" s="1" t="s">
        <v>56</v>
      </c>
      <c r="E187" s="4" t="s">
        <v>49</v>
      </c>
      <c r="F187" s="4"/>
      <c r="G187" s="1" t="s">
        <v>40</v>
      </c>
      <c r="H187" s="1" t="s">
        <v>59</v>
      </c>
      <c r="I187" s="1" t="s">
        <v>56</v>
      </c>
    </row>
    <row r="188" spans="2:9" x14ac:dyDescent="0.4">
      <c r="F188" s="3"/>
    </row>
    <row r="189" spans="2:9" x14ac:dyDescent="0.4">
      <c r="B189" s="10" t="s">
        <v>28</v>
      </c>
      <c r="C189" s="11"/>
      <c r="D189" s="11"/>
      <c r="E189" s="11"/>
      <c r="F189" s="11"/>
      <c r="G189" s="11"/>
      <c r="H189" s="11"/>
      <c r="I189" s="12"/>
    </row>
    <row r="190" spans="2:9" x14ac:dyDescent="0.4">
      <c r="B190" s="5" t="s">
        <v>1</v>
      </c>
      <c r="C190" s="4" t="s">
        <v>271</v>
      </c>
      <c r="D190" s="5" t="s">
        <v>3</v>
      </c>
      <c r="E190" s="4" t="s">
        <v>190</v>
      </c>
      <c r="F190" s="5" t="s">
        <v>29</v>
      </c>
      <c r="G190" s="4" t="s">
        <v>38</v>
      </c>
      <c r="H190" s="5" t="s">
        <v>30</v>
      </c>
      <c r="I190" s="6">
        <v>45404</v>
      </c>
    </row>
    <row r="191" spans="2:9" x14ac:dyDescent="0.4">
      <c r="B191" s="5" t="s">
        <v>31</v>
      </c>
      <c r="C191" s="13" t="s">
        <v>207</v>
      </c>
      <c r="D191" s="13"/>
      <c r="E191" s="13"/>
      <c r="F191" s="13"/>
      <c r="G191" s="13"/>
      <c r="H191" s="13"/>
      <c r="I191" s="13"/>
    </row>
    <row r="192" spans="2:9" x14ac:dyDescent="0.4">
      <c r="B192" s="5" t="s">
        <v>32</v>
      </c>
      <c r="C192" s="5" t="s">
        <v>1</v>
      </c>
      <c r="D192" s="5" t="s">
        <v>3</v>
      </c>
      <c r="E192" s="5" t="s">
        <v>33</v>
      </c>
      <c r="F192" s="5" t="s">
        <v>34</v>
      </c>
      <c r="G192" s="5" t="s">
        <v>35</v>
      </c>
      <c r="H192" s="5" t="s">
        <v>22</v>
      </c>
      <c r="I192" s="5" t="s">
        <v>36</v>
      </c>
    </row>
    <row r="193" spans="2:9" x14ac:dyDescent="0.4">
      <c r="B193" s="4">
        <v>1</v>
      </c>
      <c r="C193" s="1" t="s">
        <v>192</v>
      </c>
      <c r="D193" s="1" t="s">
        <v>193</v>
      </c>
      <c r="E193" s="4" t="s">
        <v>173</v>
      </c>
      <c r="F193" s="4">
        <v>1</v>
      </c>
      <c r="G193" s="1" t="s">
        <v>40</v>
      </c>
      <c r="H193" s="1"/>
      <c r="I193" s="1" t="s">
        <v>193</v>
      </c>
    </row>
    <row r="194" spans="2:9" x14ac:dyDescent="0.4">
      <c r="B194" s="4">
        <v>2</v>
      </c>
      <c r="C194" s="1" t="s">
        <v>184</v>
      </c>
      <c r="D194" s="1" t="s">
        <v>185</v>
      </c>
      <c r="E194" s="4" t="s">
        <v>173</v>
      </c>
      <c r="F194" s="4">
        <v>2</v>
      </c>
      <c r="G194" s="1" t="s">
        <v>40</v>
      </c>
      <c r="H194" s="1" t="s">
        <v>58</v>
      </c>
      <c r="I194" s="1" t="s">
        <v>185</v>
      </c>
    </row>
    <row r="195" spans="2:9" x14ac:dyDescent="0.4">
      <c r="B195" s="4">
        <v>3</v>
      </c>
      <c r="C195" s="1" t="s">
        <v>175</v>
      </c>
      <c r="D195" s="1" t="s">
        <v>191</v>
      </c>
      <c r="E195" s="4" t="s">
        <v>173</v>
      </c>
      <c r="F195" s="4"/>
      <c r="G195" s="1" t="s">
        <v>43</v>
      </c>
      <c r="H195" s="1" t="s">
        <v>58</v>
      </c>
      <c r="I195" s="1" t="s">
        <v>191</v>
      </c>
    </row>
    <row r="196" spans="2:9" x14ac:dyDescent="0.4">
      <c r="B196" s="4">
        <v>4</v>
      </c>
      <c r="C196" s="1" t="s">
        <v>195</v>
      </c>
      <c r="D196" s="1" t="s">
        <v>215</v>
      </c>
      <c r="E196" s="4" t="s">
        <v>173</v>
      </c>
      <c r="F196" s="4"/>
      <c r="G196" s="1" t="s">
        <v>40</v>
      </c>
      <c r="H196" s="1" t="s">
        <v>58</v>
      </c>
      <c r="I196" s="1" t="s">
        <v>197</v>
      </c>
    </row>
    <row r="197" spans="2:9" x14ac:dyDescent="0.4">
      <c r="B197" s="4">
        <v>5</v>
      </c>
      <c r="C197" s="1" t="s">
        <v>50</v>
      </c>
      <c r="D197" s="1" t="s">
        <v>55</v>
      </c>
      <c r="E197" s="4" t="s">
        <v>49</v>
      </c>
      <c r="F197" s="4"/>
      <c r="G197" s="1" t="s">
        <v>40</v>
      </c>
      <c r="H197" s="1" t="s">
        <v>59</v>
      </c>
      <c r="I197" s="1" t="s">
        <v>55</v>
      </c>
    </row>
    <row r="198" spans="2:9" x14ac:dyDescent="0.4">
      <c r="B198" s="4">
        <v>6</v>
      </c>
      <c r="C198" s="1" t="s">
        <v>241</v>
      </c>
      <c r="D198" s="1" t="s">
        <v>198</v>
      </c>
      <c r="E198" s="4" t="s">
        <v>173</v>
      </c>
      <c r="F198" s="4"/>
      <c r="G198" s="1" t="s">
        <v>40</v>
      </c>
      <c r="H198" s="1" t="s">
        <v>58</v>
      </c>
      <c r="I198" s="1" t="s">
        <v>198</v>
      </c>
    </row>
    <row r="199" spans="2:9" x14ac:dyDescent="0.4">
      <c r="B199" s="4">
        <v>7</v>
      </c>
      <c r="C199" s="1" t="s">
        <v>239</v>
      </c>
      <c r="D199" s="1" t="s">
        <v>56</v>
      </c>
      <c r="E199" s="4" t="s">
        <v>49</v>
      </c>
      <c r="F199" s="4"/>
      <c r="G199" s="1" t="s">
        <v>40</v>
      </c>
      <c r="H199" s="1" t="s">
        <v>59</v>
      </c>
      <c r="I199" s="1" t="s">
        <v>56</v>
      </c>
    </row>
    <row r="200" spans="2:9" x14ac:dyDescent="0.4">
      <c r="F200" s="3"/>
    </row>
    <row r="201" spans="2:9" x14ac:dyDescent="0.4">
      <c r="B201" s="5" t="s">
        <v>32</v>
      </c>
      <c r="C201" s="14" t="s">
        <v>44</v>
      </c>
      <c r="D201" s="14"/>
      <c r="E201" s="14"/>
      <c r="F201" s="14" t="s">
        <v>45</v>
      </c>
      <c r="G201" s="14"/>
      <c r="H201" s="14"/>
      <c r="I201" s="14"/>
    </row>
    <row r="202" spans="2:9" x14ac:dyDescent="0.4">
      <c r="B202" s="4">
        <v>1</v>
      </c>
      <c r="C202" s="15" t="str">
        <f>_xlfn.CONCAT("PK_",C190)</f>
        <v>PK_tb_basket</v>
      </c>
      <c r="D202" s="15"/>
      <c r="E202" s="15"/>
      <c r="F202" s="15" t="str">
        <f>C193</f>
        <v>USER_SEQ</v>
      </c>
      <c r="G202" s="15"/>
      <c r="H202" s="15"/>
      <c r="I202" s="15"/>
    </row>
    <row r="203" spans="2:9" x14ac:dyDescent="0.4">
      <c r="B203" s="4">
        <v>2</v>
      </c>
      <c r="C203" s="15" t="str">
        <f>_xlfn.CONCAT("PK_",C190)</f>
        <v>PK_tb_basket</v>
      </c>
      <c r="D203" s="15"/>
      <c r="E203" s="15"/>
      <c r="F203" s="15" t="str">
        <f>C194</f>
        <v>ITEM_SEQ</v>
      </c>
      <c r="G203" s="15"/>
      <c r="H203" s="15"/>
      <c r="I203" s="15"/>
    </row>
    <row r="204" spans="2:9" x14ac:dyDescent="0.4">
      <c r="B204" s="16"/>
      <c r="C204" s="17"/>
      <c r="D204" s="17"/>
      <c r="E204" s="16"/>
      <c r="F204" s="16"/>
      <c r="G204" s="17"/>
      <c r="H204" s="17"/>
      <c r="I204" s="17"/>
    </row>
    <row r="205" spans="2:9" x14ac:dyDescent="0.4">
      <c r="B205" s="16"/>
      <c r="C205" s="17"/>
      <c r="D205" s="17"/>
      <c r="E205" s="16"/>
      <c r="F205" s="16"/>
      <c r="G205" s="17"/>
      <c r="H205" s="17"/>
      <c r="I205" s="17"/>
    </row>
    <row r="206" spans="2:9" x14ac:dyDescent="0.4">
      <c r="B206" s="16"/>
      <c r="C206" s="17"/>
      <c r="D206" s="17"/>
      <c r="E206" s="16"/>
      <c r="F206" s="16"/>
      <c r="G206" s="17"/>
      <c r="H206" s="17"/>
      <c r="I206" s="17"/>
    </row>
    <row r="207" spans="2:9" x14ac:dyDescent="0.4">
      <c r="B207" s="16"/>
      <c r="C207" s="17"/>
      <c r="D207" s="17"/>
      <c r="E207" s="16"/>
      <c r="F207" s="16"/>
      <c r="G207" s="17"/>
      <c r="H207" s="17"/>
      <c r="I207" s="17"/>
    </row>
    <row r="208" spans="2:9" x14ac:dyDescent="0.4">
      <c r="B208" s="16"/>
      <c r="C208" s="17"/>
      <c r="D208" s="17"/>
      <c r="E208" s="16"/>
      <c r="F208" s="16"/>
      <c r="G208" s="17"/>
      <c r="H208" s="17"/>
      <c r="I208" s="17"/>
    </row>
    <row r="209" spans="2:9" x14ac:dyDescent="0.4">
      <c r="B209" s="16"/>
      <c r="C209" s="17"/>
      <c r="D209" s="17"/>
      <c r="E209" s="16"/>
      <c r="F209" s="16"/>
      <c r="G209" s="17"/>
      <c r="H209" s="17"/>
      <c r="I209" s="17"/>
    </row>
    <row r="210" spans="2:9" x14ac:dyDescent="0.4">
      <c r="B210" s="16"/>
      <c r="C210" s="17"/>
      <c r="D210" s="17"/>
      <c r="E210" s="16"/>
      <c r="F210" s="16"/>
      <c r="G210" s="17"/>
      <c r="H210" s="17"/>
      <c r="I210" s="17"/>
    </row>
    <row r="211" spans="2:9" x14ac:dyDescent="0.4">
      <c r="F211" s="3"/>
    </row>
    <row r="212" spans="2:9" x14ac:dyDescent="0.4">
      <c r="F212" s="3"/>
    </row>
    <row r="213" spans="2:9" x14ac:dyDescent="0.4">
      <c r="F213" s="3"/>
    </row>
    <row r="214" spans="2:9" x14ac:dyDescent="0.4">
      <c r="F214" s="3"/>
    </row>
    <row r="215" spans="2:9" x14ac:dyDescent="0.4">
      <c r="B215" s="10" t="s">
        <v>28</v>
      </c>
      <c r="C215" s="11"/>
      <c r="D215" s="11"/>
      <c r="E215" s="11"/>
      <c r="F215" s="11"/>
      <c r="G215" s="11"/>
      <c r="H215" s="11"/>
      <c r="I215" s="12"/>
    </row>
    <row r="216" spans="2:9" x14ac:dyDescent="0.4">
      <c r="B216" s="5" t="s">
        <v>1</v>
      </c>
      <c r="C216" s="4" t="s">
        <v>272</v>
      </c>
      <c r="D216" s="5" t="s">
        <v>3</v>
      </c>
      <c r="E216" s="4" t="s">
        <v>205</v>
      </c>
      <c r="F216" s="5" t="s">
        <v>29</v>
      </c>
      <c r="G216" s="4" t="s">
        <v>38</v>
      </c>
      <c r="H216" s="5" t="s">
        <v>30</v>
      </c>
      <c r="I216" s="6">
        <v>45404</v>
      </c>
    </row>
    <row r="217" spans="2:9" x14ac:dyDescent="0.4">
      <c r="B217" s="5" t="s">
        <v>31</v>
      </c>
      <c r="C217" s="13" t="s">
        <v>206</v>
      </c>
      <c r="D217" s="13"/>
      <c r="E217" s="13"/>
      <c r="F217" s="13"/>
      <c r="G217" s="13"/>
      <c r="H217" s="13"/>
      <c r="I217" s="13"/>
    </row>
    <row r="218" spans="2:9" x14ac:dyDescent="0.4">
      <c r="B218" s="5" t="s">
        <v>32</v>
      </c>
      <c r="C218" s="5" t="s">
        <v>1</v>
      </c>
      <c r="D218" s="5" t="s">
        <v>3</v>
      </c>
      <c r="E218" s="5" t="s">
        <v>33</v>
      </c>
      <c r="F218" s="5" t="s">
        <v>34</v>
      </c>
      <c r="G218" s="5" t="s">
        <v>35</v>
      </c>
      <c r="H218" s="5" t="s">
        <v>22</v>
      </c>
      <c r="I218" s="5" t="s">
        <v>36</v>
      </c>
    </row>
    <row r="219" spans="2:9" x14ac:dyDescent="0.4">
      <c r="B219" s="4">
        <v>1</v>
      </c>
      <c r="C219" s="1" t="s">
        <v>248</v>
      </c>
      <c r="D219" s="1" t="s">
        <v>249</v>
      </c>
      <c r="E219" s="4" t="s">
        <v>173</v>
      </c>
      <c r="F219" s="4">
        <v>1</v>
      </c>
      <c r="G219" s="1" t="s">
        <v>40</v>
      </c>
      <c r="H219" s="1" t="s">
        <v>194</v>
      </c>
      <c r="I219" s="1" t="s">
        <v>249</v>
      </c>
    </row>
    <row r="220" spans="2:9" x14ac:dyDescent="0.4">
      <c r="B220" s="4">
        <v>2</v>
      </c>
      <c r="C220" s="1" t="s">
        <v>192</v>
      </c>
      <c r="D220" s="1" t="s">
        <v>193</v>
      </c>
      <c r="E220" s="4" t="s">
        <v>173</v>
      </c>
      <c r="F220" s="4"/>
      <c r="G220" s="1" t="s">
        <v>43</v>
      </c>
      <c r="H220" s="1"/>
      <c r="I220" s="1" t="s">
        <v>193</v>
      </c>
    </row>
    <row r="221" spans="2:9" x14ac:dyDescent="0.4">
      <c r="B221" s="4">
        <v>3</v>
      </c>
      <c r="C221" s="1" t="s">
        <v>184</v>
      </c>
      <c r="D221" s="1" t="s">
        <v>185</v>
      </c>
      <c r="E221" s="4" t="s">
        <v>173</v>
      </c>
      <c r="F221" s="4"/>
      <c r="G221" s="1" t="s">
        <v>43</v>
      </c>
      <c r="H221" s="1" t="s">
        <v>58</v>
      </c>
      <c r="I221" s="1" t="s">
        <v>185</v>
      </c>
    </row>
    <row r="222" spans="2:9" x14ac:dyDescent="0.4">
      <c r="B222" s="4">
        <v>4</v>
      </c>
      <c r="C222" s="1" t="s">
        <v>171</v>
      </c>
      <c r="D222" s="1" t="s">
        <v>172</v>
      </c>
      <c r="E222" s="4" t="s">
        <v>173</v>
      </c>
      <c r="F222" s="4"/>
      <c r="G222" s="1" t="s">
        <v>43</v>
      </c>
      <c r="H222" s="1"/>
      <c r="I222" s="1" t="s">
        <v>211</v>
      </c>
    </row>
    <row r="223" spans="2:9" x14ac:dyDescent="0.4">
      <c r="B223" s="4">
        <v>5</v>
      </c>
      <c r="C223" s="1" t="s">
        <v>175</v>
      </c>
      <c r="D223" s="1" t="s">
        <v>191</v>
      </c>
      <c r="E223" s="4" t="s">
        <v>173</v>
      </c>
      <c r="F223" s="4"/>
      <c r="G223" s="1" t="s">
        <v>43</v>
      </c>
      <c r="H223" s="1" t="s">
        <v>58</v>
      </c>
      <c r="I223" s="1" t="s">
        <v>191</v>
      </c>
    </row>
    <row r="224" spans="2:9" x14ac:dyDescent="0.4">
      <c r="B224" s="4">
        <v>6</v>
      </c>
      <c r="C224" s="1" t="s">
        <v>210</v>
      </c>
      <c r="D224" s="1" t="s">
        <v>209</v>
      </c>
      <c r="E224" s="4" t="s">
        <v>48</v>
      </c>
      <c r="F224" s="4"/>
      <c r="G224" s="1" t="s">
        <v>43</v>
      </c>
      <c r="H224" s="7" t="s">
        <v>176</v>
      </c>
      <c r="I224" s="1" t="s">
        <v>274</v>
      </c>
    </row>
    <row r="225" spans="2:9" x14ac:dyDescent="0.4">
      <c r="B225" s="4">
        <v>7</v>
      </c>
      <c r="C225" s="1" t="s">
        <v>250</v>
      </c>
      <c r="D225" s="1" t="s">
        <v>251</v>
      </c>
      <c r="E225" s="4" t="s">
        <v>49</v>
      </c>
      <c r="F225" s="4"/>
      <c r="G225" s="1" t="s">
        <v>43</v>
      </c>
      <c r="H225" s="7"/>
      <c r="I225" s="1" t="s">
        <v>251</v>
      </c>
    </row>
    <row r="226" spans="2:9" x14ac:dyDescent="0.4">
      <c r="B226" s="4">
        <v>8</v>
      </c>
      <c r="C226" s="1" t="s">
        <v>246</v>
      </c>
      <c r="D226" s="1" t="s">
        <v>247</v>
      </c>
      <c r="E226" s="4" t="s">
        <v>124</v>
      </c>
      <c r="F226" s="4"/>
      <c r="G226" s="1" t="s">
        <v>43</v>
      </c>
      <c r="H226" s="1" t="s">
        <v>58</v>
      </c>
      <c r="I226" s="1" t="s">
        <v>247</v>
      </c>
    </row>
    <row r="227" spans="2:9" x14ac:dyDescent="0.4">
      <c r="B227" s="4">
        <v>9</v>
      </c>
      <c r="C227" s="1" t="s">
        <v>195</v>
      </c>
      <c r="D227" s="1" t="s">
        <v>215</v>
      </c>
      <c r="E227" s="4" t="s">
        <v>173</v>
      </c>
      <c r="F227" s="4"/>
      <c r="G227" s="1" t="s">
        <v>40</v>
      </c>
      <c r="H227" s="1" t="s">
        <v>58</v>
      </c>
      <c r="I227" s="1" t="s">
        <v>197</v>
      </c>
    </row>
    <row r="228" spans="2:9" x14ac:dyDescent="0.4">
      <c r="B228" s="4">
        <v>10</v>
      </c>
      <c r="C228" s="1" t="s">
        <v>50</v>
      </c>
      <c r="D228" s="1" t="s">
        <v>55</v>
      </c>
      <c r="E228" s="4" t="s">
        <v>49</v>
      </c>
      <c r="F228" s="4"/>
      <c r="G228" s="1" t="s">
        <v>40</v>
      </c>
      <c r="H228" s="1" t="s">
        <v>59</v>
      </c>
      <c r="I228" s="1" t="s">
        <v>55</v>
      </c>
    </row>
    <row r="229" spans="2:9" x14ac:dyDescent="0.4">
      <c r="B229" s="4">
        <v>11</v>
      </c>
      <c r="C229" s="1" t="s">
        <v>241</v>
      </c>
      <c r="D229" s="1" t="s">
        <v>198</v>
      </c>
      <c r="E229" s="4" t="s">
        <v>173</v>
      </c>
      <c r="F229" s="4"/>
      <c r="G229" s="1" t="s">
        <v>40</v>
      </c>
      <c r="H229" s="1" t="s">
        <v>58</v>
      </c>
      <c r="I229" s="1" t="s">
        <v>198</v>
      </c>
    </row>
    <row r="230" spans="2:9" x14ac:dyDescent="0.4">
      <c r="B230" s="4">
        <v>12</v>
      </c>
      <c r="C230" s="1" t="s">
        <v>239</v>
      </c>
      <c r="D230" s="1" t="s">
        <v>56</v>
      </c>
      <c r="E230" s="4" t="s">
        <v>49</v>
      </c>
      <c r="F230" s="4"/>
      <c r="G230" s="1" t="s">
        <v>40</v>
      </c>
      <c r="H230" s="1" t="s">
        <v>59</v>
      </c>
      <c r="I230" s="1" t="s">
        <v>56</v>
      </c>
    </row>
    <row r="231" spans="2:9" x14ac:dyDescent="0.4">
      <c r="F231" s="3"/>
    </row>
    <row r="232" spans="2:9" x14ac:dyDescent="0.4">
      <c r="B232" s="10" t="s">
        <v>28</v>
      </c>
      <c r="C232" s="11"/>
      <c r="D232" s="11"/>
      <c r="E232" s="11"/>
      <c r="F232" s="11"/>
      <c r="G232" s="11"/>
      <c r="H232" s="11"/>
      <c r="I232" s="12"/>
    </row>
    <row r="233" spans="2:9" x14ac:dyDescent="0.4">
      <c r="B233" s="5" t="s">
        <v>1</v>
      </c>
      <c r="C233" s="4" t="s">
        <v>273</v>
      </c>
      <c r="D233" s="5" t="s">
        <v>3</v>
      </c>
      <c r="E233" s="4" t="s">
        <v>252</v>
      </c>
      <c r="F233" s="5" t="s">
        <v>29</v>
      </c>
      <c r="G233" s="4" t="s">
        <v>38</v>
      </c>
      <c r="H233" s="5" t="s">
        <v>30</v>
      </c>
      <c r="I233" s="6">
        <v>45404</v>
      </c>
    </row>
    <row r="234" spans="2:9" x14ac:dyDescent="0.4">
      <c r="B234" s="5" t="s">
        <v>31</v>
      </c>
      <c r="C234" s="13" t="s">
        <v>253</v>
      </c>
      <c r="D234" s="13"/>
      <c r="E234" s="13"/>
      <c r="F234" s="13"/>
      <c r="G234" s="13"/>
      <c r="H234" s="13"/>
      <c r="I234" s="13"/>
    </row>
    <row r="235" spans="2:9" x14ac:dyDescent="0.4">
      <c r="B235" s="5" t="s">
        <v>32</v>
      </c>
      <c r="C235" s="5" t="s">
        <v>1</v>
      </c>
      <c r="D235" s="5" t="s">
        <v>3</v>
      </c>
      <c r="E235" s="5" t="s">
        <v>33</v>
      </c>
      <c r="F235" s="5" t="s">
        <v>34</v>
      </c>
      <c r="G235" s="5" t="s">
        <v>35</v>
      </c>
      <c r="H235" s="5" t="s">
        <v>22</v>
      </c>
      <c r="I235" s="5" t="s">
        <v>36</v>
      </c>
    </row>
    <row r="236" spans="2:9" x14ac:dyDescent="0.4">
      <c r="B236" s="4">
        <v>1</v>
      </c>
      <c r="C236" s="1" t="s">
        <v>254</v>
      </c>
      <c r="D236" s="1" t="s">
        <v>255</v>
      </c>
      <c r="E236" s="4" t="s">
        <v>173</v>
      </c>
      <c r="F236" s="4">
        <v>1</v>
      </c>
      <c r="G236" s="1" t="s">
        <v>40</v>
      </c>
      <c r="H236" s="1" t="s">
        <v>194</v>
      </c>
      <c r="I236" s="1" t="s">
        <v>255</v>
      </c>
    </row>
    <row r="237" spans="2:9" x14ac:dyDescent="0.4">
      <c r="B237" s="4">
        <v>2</v>
      </c>
      <c r="C237" s="1" t="s">
        <v>192</v>
      </c>
      <c r="D237" s="1" t="s">
        <v>193</v>
      </c>
      <c r="E237" s="4" t="s">
        <v>173</v>
      </c>
      <c r="F237" s="4"/>
      <c r="G237" s="1" t="s">
        <v>43</v>
      </c>
      <c r="H237" s="1"/>
      <c r="I237" s="1" t="s">
        <v>193</v>
      </c>
    </row>
    <row r="238" spans="2:9" x14ac:dyDescent="0.4">
      <c r="B238" s="4">
        <v>3</v>
      </c>
      <c r="C238" s="1" t="s">
        <v>186</v>
      </c>
      <c r="D238" s="1" t="s">
        <v>174</v>
      </c>
      <c r="E238" s="4" t="s">
        <v>151</v>
      </c>
      <c r="F238" s="4"/>
      <c r="G238" s="1" t="s">
        <v>43</v>
      </c>
      <c r="H238" s="1"/>
      <c r="I238" s="1" t="s">
        <v>174</v>
      </c>
    </row>
    <row r="239" spans="2:9" x14ac:dyDescent="0.4">
      <c r="B239" s="4">
        <v>4</v>
      </c>
      <c r="C239" s="1" t="s">
        <v>187</v>
      </c>
      <c r="D239" s="1" t="s">
        <v>188</v>
      </c>
      <c r="E239" s="4" t="s">
        <v>105</v>
      </c>
      <c r="F239" s="4"/>
      <c r="G239" s="1"/>
      <c r="H239" s="1"/>
      <c r="I239" s="1" t="s">
        <v>189</v>
      </c>
    </row>
    <row r="240" spans="2:9" x14ac:dyDescent="0.4">
      <c r="B240" s="4">
        <v>5</v>
      </c>
      <c r="C240" s="1" t="s">
        <v>171</v>
      </c>
      <c r="D240" s="1" t="s">
        <v>172</v>
      </c>
      <c r="E240" s="4" t="s">
        <v>173</v>
      </c>
      <c r="F240" s="4"/>
      <c r="G240" s="1" t="s">
        <v>43</v>
      </c>
      <c r="H240" s="1"/>
      <c r="I240" s="1" t="s">
        <v>211</v>
      </c>
    </row>
    <row r="241" spans="2:9" x14ac:dyDescent="0.4">
      <c r="B241" s="4">
        <v>6</v>
      </c>
      <c r="C241" s="1" t="s">
        <v>175</v>
      </c>
      <c r="D241" s="1" t="s">
        <v>191</v>
      </c>
      <c r="E241" s="4" t="s">
        <v>173</v>
      </c>
      <c r="F241" s="4"/>
      <c r="G241" s="1" t="s">
        <v>43</v>
      </c>
      <c r="H241" s="1" t="s">
        <v>58</v>
      </c>
      <c r="I241" s="1" t="s">
        <v>191</v>
      </c>
    </row>
    <row r="242" spans="2:9" x14ac:dyDescent="0.4">
      <c r="B242" s="4">
        <v>7</v>
      </c>
      <c r="C242" s="1" t="s">
        <v>256</v>
      </c>
      <c r="D242" s="1" t="s">
        <v>257</v>
      </c>
      <c r="E242" s="4" t="s">
        <v>308</v>
      </c>
      <c r="F242" s="4"/>
      <c r="G242" s="1" t="s">
        <v>43</v>
      </c>
      <c r="H242" s="1"/>
      <c r="I242" s="1" t="s">
        <v>258</v>
      </c>
    </row>
    <row r="243" spans="2:9" x14ac:dyDescent="0.4">
      <c r="B243" s="4">
        <v>8</v>
      </c>
      <c r="C243" s="1" t="s">
        <v>210</v>
      </c>
      <c r="D243" s="1" t="s">
        <v>209</v>
      </c>
      <c r="E243" s="4" t="s">
        <v>48</v>
      </c>
      <c r="F243" s="4"/>
      <c r="G243" s="1" t="s">
        <v>43</v>
      </c>
      <c r="H243" s="7" t="s">
        <v>176</v>
      </c>
      <c r="I243" s="1" t="s">
        <v>274</v>
      </c>
    </row>
    <row r="244" spans="2:9" x14ac:dyDescent="0.4">
      <c r="B244" s="4">
        <v>9</v>
      </c>
      <c r="C244" s="1" t="s">
        <v>250</v>
      </c>
      <c r="D244" s="1" t="s">
        <v>251</v>
      </c>
      <c r="E244" s="4" t="s">
        <v>49</v>
      </c>
      <c r="F244" s="4"/>
      <c r="G244" s="1" t="s">
        <v>43</v>
      </c>
      <c r="H244" s="7"/>
      <c r="I244" s="1" t="s">
        <v>251</v>
      </c>
    </row>
    <row r="245" spans="2:9" x14ac:dyDescent="0.4">
      <c r="B245" s="4">
        <v>10</v>
      </c>
      <c r="C245" s="1" t="s">
        <v>246</v>
      </c>
      <c r="D245" s="1" t="s">
        <v>247</v>
      </c>
      <c r="E245" s="4" t="s">
        <v>286</v>
      </c>
      <c r="F245" s="4"/>
      <c r="G245" s="1" t="s">
        <v>43</v>
      </c>
      <c r="H245" s="1" t="s">
        <v>58</v>
      </c>
      <c r="I245" s="1" t="s">
        <v>247</v>
      </c>
    </row>
    <row r="246" spans="2:9" x14ac:dyDescent="0.4">
      <c r="B246" s="4">
        <v>11</v>
      </c>
      <c r="C246" s="1" t="s">
        <v>195</v>
      </c>
      <c r="D246" s="1" t="s">
        <v>215</v>
      </c>
      <c r="E246" s="4" t="s">
        <v>173</v>
      </c>
      <c r="F246" s="4"/>
      <c r="G246" s="1" t="s">
        <v>40</v>
      </c>
      <c r="H246" s="1" t="s">
        <v>58</v>
      </c>
      <c r="I246" s="1" t="s">
        <v>197</v>
      </c>
    </row>
    <row r="247" spans="2:9" x14ac:dyDescent="0.4">
      <c r="B247" s="4">
        <v>12</v>
      </c>
      <c r="C247" s="1" t="s">
        <v>50</v>
      </c>
      <c r="D247" s="1" t="s">
        <v>55</v>
      </c>
      <c r="E247" s="4" t="s">
        <v>49</v>
      </c>
      <c r="F247" s="4"/>
      <c r="G247" s="1" t="s">
        <v>40</v>
      </c>
      <c r="H247" s="1" t="s">
        <v>59</v>
      </c>
      <c r="I247" s="1" t="s">
        <v>55</v>
      </c>
    </row>
    <row r="248" spans="2:9" x14ac:dyDescent="0.4">
      <c r="B248" s="4">
        <v>13</v>
      </c>
      <c r="C248" s="1" t="s">
        <v>241</v>
      </c>
      <c r="D248" s="1" t="s">
        <v>198</v>
      </c>
      <c r="E248" s="4" t="s">
        <v>173</v>
      </c>
      <c r="F248" s="4"/>
      <c r="G248" s="1" t="s">
        <v>40</v>
      </c>
      <c r="H248" s="1" t="s">
        <v>58</v>
      </c>
      <c r="I248" s="1" t="s">
        <v>198</v>
      </c>
    </row>
    <row r="249" spans="2:9" x14ac:dyDescent="0.4">
      <c r="B249" s="4">
        <v>14</v>
      </c>
      <c r="C249" s="1" t="s">
        <v>239</v>
      </c>
      <c r="D249" s="1" t="s">
        <v>56</v>
      </c>
      <c r="E249" s="4" t="s">
        <v>49</v>
      </c>
      <c r="F249" s="4"/>
      <c r="G249" s="1" t="s">
        <v>40</v>
      </c>
      <c r="H249" s="1" t="s">
        <v>59</v>
      </c>
      <c r="I249" s="1" t="s">
        <v>56</v>
      </c>
    </row>
    <row r="250" spans="2:9" x14ac:dyDescent="0.4">
      <c r="F250" s="3"/>
    </row>
    <row r="251" spans="2:9" x14ac:dyDescent="0.4">
      <c r="B251" s="10" t="s">
        <v>28</v>
      </c>
      <c r="C251" s="11"/>
      <c r="D251" s="11"/>
      <c r="E251" s="11"/>
      <c r="F251" s="11"/>
      <c r="G251" s="11"/>
      <c r="H251" s="11"/>
      <c r="I251" s="12"/>
    </row>
    <row r="252" spans="2:9" x14ac:dyDescent="0.4">
      <c r="B252" s="5" t="s">
        <v>1</v>
      </c>
      <c r="C252" s="4" t="s">
        <v>288</v>
      </c>
      <c r="D252" s="5" t="s">
        <v>3</v>
      </c>
      <c r="E252" s="4" t="s">
        <v>289</v>
      </c>
      <c r="F252" s="5" t="s">
        <v>29</v>
      </c>
      <c r="G252" s="4" t="s">
        <v>38</v>
      </c>
      <c r="H252" s="5" t="s">
        <v>30</v>
      </c>
      <c r="I252" s="6">
        <v>46022</v>
      </c>
    </row>
    <row r="253" spans="2:9" x14ac:dyDescent="0.4">
      <c r="B253" s="5" t="s">
        <v>31</v>
      </c>
      <c r="C253" s="13" t="s">
        <v>328</v>
      </c>
      <c r="D253" s="13"/>
      <c r="E253" s="13"/>
      <c r="F253" s="13"/>
      <c r="G253" s="13"/>
      <c r="H253" s="13"/>
      <c r="I253" s="13"/>
    </row>
    <row r="254" spans="2:9" x14ac:dyDescent="0.4">
      <c r="B254" s="5" t="s">
        <v>32</v>
      </c>
      <c r="C254" s="5" t="s">
        <v>1</v>
      </c>
      <c r="D254" s="5" t="s">
        <v>3</v>
      </c>
      <c r="E254" s="5" t="s">
        <v>33</v>
      </c>
      <c r="F254" s="5" t="s">
        <v>34</v>
      </c>
      <c r="G254" s="5" t="s">
        <v>35</v>
      </c>
      <c r="H254" s="5" t="s">
        <v>22</v>
      </c>
      <c r="I254" s="5" t="s">
        <v>36</v>
      </c>
    </row>
    <row r="255" spans="2:9" x14ac:dyDescent="0.4">
      <c r="B255" s="4">
        <v>1</v>
      </c>
      <c r="C255" s="1" t="s">
        <v>290</v>
      </c>
      <c r="D255" s="1" t="s">
        <v>291</v>
      </c>
      <c r="E255" s="4" t="s">
        <v>283</v>
      </c>
      <c r="F255" s="4">
        <v>1</v>
      </c>
      <c r="G255" s="1" t="s">
        <v>40</v>
      </c>
      <c r="H255" s="1" t="s">
        <v>194</v>
      </c>
      <c r="I255" s="1" t="s">
        <v>291</v>
      </c>
    </row>
    <row r="256" spans="2:9" x14ac:dyDescent="0.4">
      <c r="B256" s="4">
        <v>2</v>
      </c>
      <c r="C256" s="1" t="s">
        <v>192</v>
      </c>
      <c r="D256" s="1" t="s">
        <v>193</v>
      </c>
      <c r="E256" s="4" t="s">
        <v>173</v>
      </c>
      <c r="F256" s="4"/>
      <c r="G256" s="1" t="s">
        <v>43</v>
      </c>
      <c r="H256" s="1"/>
      <c r="I256" s="1" t="s">
        <v>193</v>
      </c>
    </row>
    <row r="257" spans="2:9" x14ac:dyDescent="0.4">
      <c r="B257" s="4">
        <v>3</v>
      </c>
      <c r="C257" s="1" t="s">
        <v>292</v>
      </c>
      <c r="D257" s="1" t="s">
        <v>293</v>
      </c>
      <c r="E257" s="4" t="s">
        <v>295</v>
      </c>
      <c r="F257" s="4"/>
      <c r="G257" s="1" t="s">
        <v>43</v>
      </c>
      <c r="H257" s="1"/>
      <c r="I257" s="1" t="s">
        <v>294</v>
      </c>
    </row>
    <row r="258" spans="2:9" x14ac:dyDescent="0.4">
      <c r="B258" s="4">
        <v>4</v>
      </c>
      <c r="C258" s="1" t="s">
        <v>323</v>
      </c>
      <c r="D258" s="1" t="s">
        <v>297</v>
      </c>
      <c r="E258" s="4" t="s">
        <v>296</v>
      </c>
      <c r="F258" s="4"/>
      <c r="G258" s="1" t="s">
        <v>43</v>
      </c>
      <c r="H258" s="1"/>
      <c r="I258" s="1" t="s">
        <v>297</v>
      </c>
    </row>
    <row r="259" spans="2:9" x14ac:dyDescent="0.4">
      <c r="B259" s="4">
        <v>4</v>
      </c>
      <c r="C259" s="1" t="s">
        <v>324</v>
      </c>
      <c r="D259" s="1" t="s">
        <v>299</v>
      </c>
      <c r="E259" s="4" t="s">
        <v>298</v>
      </c>
      <c r="F259" s="4"/>
      <c r="G259" s="1" t="s">
        <v>43</v>
      </c>
      <c r="H259" s="1"/>
      <c r="I259" s="1" t="s">
        <v>299</v>
      </c>
    </row>
    <row r="260" spans="2:9" x14ac:dyDescent="0.4">
      <c r="B260" s="4">
        <v>5</v>
      </c>
      <c r="C260" s="1" t="s">
        <v>195</v>
      </c>
      <c r="D260" s="1" t="s">
        <v>215</v>
      </c>
      <c r="E260" s="4" t="s">
        <v>173</v>
      </c>
      <c r="F260" s="4"/>
      <c r="G260" s="1" t="s">
        <v>40</v>
      </c>
      <c r="H260" s="1" t="s">
        <v>58</v>
      </c>
      <c r="I260" s="1" t="s">
        <v>197</v>
      </c>
    </row>
    <row r="261" spans="2:9" x14ac:dyDescent="0.4">
      <c r="B261" s="4">
        <v>6</v>
      </c>
      <c r="C261" s="1" t="s">
        <v>50</v>
      </c>
      <c r="D261" s="1" t="s">
        <v>55</v>
      </c>
      <c r="E261" s="4" t="s">
        <v>49</v>
      </c>
      <c r="F261" s="4"/>
      <c r="G261" s="1" t="s">
        <v>40</v>
      </c>
      <c r="H261" s="1" t="s">
        <v>59</v>
      </c>
      <c r="I261" s="1" t="s">
        <v>55</v>
      </c>
    </row>
    <row r="262" spans="2:9" x14ac:dyDescent="0.4">
      <c r="B262" s="4">
        <v>7</v>
      </c>
      <c r="C262" s="1" t="s">
        <v>241</v>
      </c>
      <c r="D262" s="1" t="s">
        <v>198</v>
      </c>
      <c r="E262" s="4" t="s">
        <v>173</v>
      </c>
      <c r="F262" s="4"/>
      <c r="G262" s="1" t="s">
        <v>40</v>
      </c>
      <c r="H262" s="1" t="s">
        <v>58</v>
      </c>
      <c r="I262" s="1" t="s">
        <v>198</v>
      </c>
    </row>
    <row r="263" spans="2:9" x14ac:dyDescent="0.4">
      <c r="B263" s="4">
        <v>8</v>
      </c>
      <c r="C263" s="1" t="s">
        <v>239</v>
      </c>
      <c r="D263" s="1" t="s">
        <v>56</v>
      </c>
      <c r="E263" s="4" t="s">
        <v>49</v>
      </c>
      <c r="F263" s="4"/>
      <c r="G263" s="1" t="s">
        <v>40</v>
      </c>
      <c r="H263" s="1" t="s">
        <v>59</v>
      </c>
      <c r="I263" s="1" t="s">
        <v>56</v>
      </c>
    </row>
    <row r="264" spans="2:9" x14ac:dyDescent="0.4">
      <c r="F264" s="3"/>
    </row>
    <row r="265" spans="2:9" x14ac:dyDescent="0.4">
      <c r="B265" s="10" t="s">
        <v>28</v>
      </c>
      <c r="C265" s="11"/>
      <c r="D265" s="11"/>
      <c r="E265" s="11"/>
      <c r="F265" s="11"/>
      <c r="G265" s="11"/>
      <c r="H265" s="11"/>
      <c r="I265" s="12"/>
    </row>
    <row r="266" spans="2:9" x14ac:dyDescent="0.4">
      <c r="B266" s="5" t="s">
        <v>1</v>
      </c>
      <c r="C266" s="4" t="s">
        <v>300</v>
      </c>
      <c r="D266" s="5" t="s">
        <v>3</v>
      </c>
      <c r="E266" s="4" t="s">
        <v>301</v>
      </c>
      <c r="F266" s="5" t="s">
        <v>29</v>
      </c>
      <c r="G266" s="4" t="s">
        <v>38</v>
      </c>
      <c r="H266" s="5" t="s">
        <v>30</v>
      </c>
      <c r="I266" s="6">
        <v>46022</v>
      </c>
    </row>
    <row r="267" spans="2:9" x14ac:dyDescent="0.4">
      <c r="B267" s="5" t="s">
        <v>31</v>
      </c>
      <c r="C267" s="13" t="s">
        <v>327</v>
      </c>
      <c r="D267" s="13"/>
      <c r="E267" s="13"/>
      <c r="F267" s="13"/>
      <c r="G267" s="13"/>
      <c r="H267" s="13"/>
      <c r="I267" s="13"/>
    </row>
    <row r="268" spans="2:9" x14ac:dyDescent="0.4">
      <c r="B268" s="5" t="s">
        <v>32</v>
      </c>
      <c r="C268" s="5" t="s">
        <v>1</v>
      </c>
      <c r="D268" s="5" t="s">
        <v>3</v>
      </c>
      <c r="E268" s="5" t="s">
        <v>33</v>
      </c>
      <c r="F268" s="5" t="s">
        <v>34</v>
      </c>
      <c r="G268" s="5" t="s">
        <v>35</v>
      </c>
      <c r="H268" s="5" t="s">
        <v>22</v>
      </c>
      <c r="I268" s="5" t="s">
        <v>36</v>
      </c>
    </row>
    <row r="269" spans="2:9" x14ac:dyDescent="0.4">
      <c r="B269" s="4">
        <v>1</v>
      </c>
      <c r="C269" s="1" t="s">
        <v>302</v>
      </c>
      <c r="D269" s="1" t="s">
        <v>303</v>
      </c>
      <c r="E269" s="4" t="s">
        <v>283</v>
      </c>
      <c r="F269" s="4">
        <v>1</v>
      </c>
      <c r="G269" s="1" t="s">
        <v>40</v>
      </c>
      <c r="H269" s="1" t="s">
        <v>194</v>
      </c>
      <c r="I269" s="1" t="s">
        <v>303</v>
      </c>
    </row>
    <row r="270" spans="2:9" x14ac:dyDescent="0.4">
      <c r="B270" s="4">
        <v>2</v>
      </c>
      <c r="C270" s="1" t="s">
        <v>290</v>
      </c>
      <c r="D270" s="1" t="s">
        <v>291</v>
      </c>
      <c r="E270" s="4" t="s">
        <v>283</v>
      </c>
      <c r="F270" s="4"/>
      <c r="G270" s="1" t="s">
        <v>43</v>
      </c>
      <c r="H270" s="1"/>
      <c r="I270" s="1" t="s">
        <v>291</v>
      </c>
    </row>
    <row r="271" spans="2:9" x14ac:dyDescent="0.4">
      <c r="B271" s="4">
        <v>3</v>
      </c>
      <c r="C271" s="1" t="s">
        <v>304</v>
      </c>
      <c r="D271" s="1" t="s">
        <v>306</v>
      </c>
      <c r="E271" s="4" t="s">
        <v>173</v>
      </c>
      <c r="F271" s="4"/>
      <c r="G271" s="1" t="s">
        <v>43</v>
      </c>
      <c r="H271" s="1"/>
      <c r="I271" s="1" t="s">
        <v>305</v>
      </c>
    </row>
    <row r="272" spans="2:9" x14ac:dyDescent="0.4">
      <c r="B272" s="4">
        <v>4</v>
      </c>
      <c r="C272" s="1" t="s">
        <v>307</v>
      </c>
      <c r="D272" s="1" t="s">
        <v>309</v>
      </c>
      <c r="E272" s="4" t="s">
        <v>308</v>
      </c>
      <c r="F272" s="4"/>
      <c r="G272" s="1" t="s">
        <v>43</v>
      </c>
      <c r="H272" s="1"/>
      <c r="I272" s="1" t="s">
        <v>310</v>
      </c>
    </row>
    <row r="273" spans="2:9" x14ac:dyDescent="0.4">
      <c r="B273" s="4">
        <v>5</v>
      </c>
      <c r="C273" s="1" t="s">
        <v>311</v>
      </c>
      <c r="D273" s="1" t="s">
        <v>312</v>
      </c>
      <c r="E273" s="4" t="s">
        <v>313</v>
      </c>
      <c r="F273" s="4"/>
      <c r="G273" s="1" t="s">
        <v>43</v>
      </c>
      <c r="H273" s="1"/>
      <c r="I273" s="1" t="s">
        <v>312</v>
      </c>
    </row>
    <row r="274" spans="2:9" x14ac:dyDescent="0.4">
      <c r="B274" s="4">
        <v>6</v>
      </c>
      <c r="C274" s="1" t="s">
        <v>314</v>
      </c>
      <c r="D274" s="1" t="s">
        <v>315</v>
      </c>
      <c r="E274" s="4" t="s">
        <v>173</v>
      </c>
      <c r="F274" s="4"/>
      <c r="G274" s="1" t="s">
        <v>43</v>
      </c>
      <c r="H274" s="9">
        <v>0</v>
      </c>
      <c r="I274" s="1" t="s">
        <v>315</v>
      </c>
    </row>
    <row r="275" spans="2:9" x14ac:dyDescent="0.4">
      <c r="B275" s="4">
        <v>7</v>
      </c>
      <c r="C275" s="1" t="s">
        <v>320</v>
      </c>
      <c r="D275" s="1" t="s">
        <v>321</v>
      </c>
      <c r="E275" s="4" t="s">
        <v>398</v>
      </c>
      <c r="F275" s="4"/>
      <c r="G275" s="1" t="s">
        <v>43</v>
      </c>
      <c r="H275" s="7"/>
      <c r="I275" s="1" t="s">
        <v>322</v>
      </c>
    </row>
    <row r="276" spans="2:9" x14ac:dyDescent="0.4">
      <c r="B276" s="4">
        <v>8</v>
      </c>
      <c r="C276" s="1" t="s">
        <v>316</v>
      </c>
      <c r="D276" s="1" t="s">
        <v>318</v>
      </c>
      <c r="E276" s="4" t="s">
        <v>296</v>
      </c>
      <c r="F276" s="4"/>
      <c r="G276" s="1" t="s">
        <v>43</v>
      </c>
      <c r="H276" s="7"/>
      <c r="I276" s="1" t="s">
        <v>318</v>
      </c>
    </row>
    <row r="277" spans="2:9" x14ac:dyDescent="0.4">
      <c r="B277" s="4">
        <v>9</v>
      </c>
      <c r="C277" s="1" t="s">
        <v>317</v>
      </c>
      <c r="D277" s="1" t="s">
        <v>319</v>
      </c>
      <c r="E277" s="4" t="s">
        <v>308</v>
      </c>
      <c r="F277" s="4"/>
      <c r="G277" s="1" t="s">
        <v>43</v>
      </c>
      <c r="H277" s="7"/>
      <c r="I277" s="1" t="s">
        <v>319</v>
      </c>
    </row>
    <row r="278" spans="2:9" x14ac:dyDescent="0.4">
      <c r="B278" s="4">
        <v>10</v>
      </c>
      <c r="C278" s="1" t="s">
        <v>381</v>
      </c>
      <c r="D278" s="1" t="s">
        <v>384</v>
      </c>
      <c r="E278" s="4" t="s">
        <v>86</v>
      </c>
      <c r="F278" s="4"/>
      <c r="G278" s="1" t="s">
        <v>43</v>
      </c>
      <c r="H278" s="7"/>
      <c r="I278" s="1" t="s">
        <v>384</v>
      </c>
    </row>
    <row r="279" spans="2:9" x14ac:dyDescent="0.4">
      <c r="B279" s="4">
        <v>11</v>
      </c>
      <c r="C279" s="1" t="s">
        <v>382</v>
      </c>
      <c r="D279" s="1" t="s">
        <v>385</v>
      </c>
      <c r="E279" s="4" t="s">
        <v>86</v>
      </c>
      <c r="F279" s="4"/>
      <c r="G279" s="1" t="s">
        <v>43</v>
      </c>
      <c r="H279" s="7"/>
      <c r="I279" s="1" t="s">
        <v>385</v>
      </c>
    </row>
    <row r="280" spans="2:9" x14ac:dyDescent="0.4">
      <c r="B280" s="4">
        <v>12</v>
      </c>
      <c r="C280" s="1" t="s">
        <v>383</v>
      </c>
      <c r="D280" s="1" t="s">
        <v>386</v>
      </c>
      <c r="E280" s="4" t="s">
        <v>86</v>
      </c>
      <c r="F280" s="4"/>
      <c r="G280" s="1" t="s">
        <v>43</v>
      </c>
      <c r="H280" s="7"/>
      <c r="I280" s="1" t="s">
        <v>386</v>
      </c>
    </row>
    <row r="281" spans="2:9" x14ac:dyDescent="0.4">
      <c r="B281" s="4">
        <v>13</v>
      </c>
      <c r="C281" s="1" t="s">
        <v>195</v>
      </c>
      <c r="D281" s="1" t="s">
        <v>215</v>
      </c>
      <c r="E281" s="4" t="s">
        <v>173</v>
      </c>
      <c r="F281" s="4"/>
      <c r="G281" s="1" t="s">
        <v>40</v>
      </c>
      <c r="H281" s="1" t="s">
        <v>58</v>
      </c>
      <c r="I281" s="1" t="s">
        <v>197</v>
      </c>
    </row>
    <row r="282" spans="2:9" x14ac:dyDescent="0.4">
      <c r="B282" s="4">
        <v>14</v>
      </c>
      <c r="C282" s="1" t="s">
        <v>50</v>
      </c>
      <c r="D282" s="1" t="s">
        <v>55</v>
      </c>
      <c r="E282" s="4" t="s">
        <v>49</v>
      </c>
      <c r="F282" s="4"/>
      <c r="G282" s="1" t="s">
        <v>40</v>
      </c>
      <c r="H282" s="1" t="s">
        <v>59</v>
      </c>
      <c r="I282" s="1" t="s">
        <v>55</v>
      </c>
    </row>
    <row r="283" spans="2:9" x14ac:dyDescent="0.4">
      <c r="B283" s="4">
        <v>15</v>
      </c>
      <c r="C283" s="1" t="s">
        <v>241</v>
      </c>
      <c r="D283" s="1" t="s">
        <v>198</v>
      </c>
      <c r="E283" s="4" t="s">
        <v>173</v>
      </c>
      <c r="F283" s="4"/>
      <c r="G283" s="1" t="s">
        <v>40</v>
      </c>
      <c r="H283" s="1" t="s">
        <v>58</v>
      </c>
      <c r="I283" s="1" t="s">
        <v>198</v>
      </c>
    </row>
    <row r="284" spans="2:9" x14ac:dyDescent="0.4">
      <c r="B284" s="4">
        <v>16</v>
      </c>
      <c r="C284" s="1" t="s">
        <v>239</v>
      </c>
      <c r="D284" s="1" t="s">
        <v>56</v>
      </c>
      <c r="E284" s="4" t="s">
        <v>49</v>
      </c>
      <c r="F284" s="4"/>
      <c r="G284" s="1" t="s">
        <v>40</v>
      </c>
      <c r="H284" s="1" t="s">
        <v>59</v>
      </c>
      <c r="I284" s="1" t="s">
        <v>56</v>
      </c>
    </row>
    <row r="285" spans="2:9" x14ac:dyDescent="0.4">
      <c r="F285" s="3"/>
    </row>
    <row r="286" spans="2:9" x14ac:dyDescent="0.4">
      <c r="B286" s="10" t="s">
        <v>28</v>
      </c>
      <c r="C286" s="11"/>
      <c r="D286" s="11"/>
      <c r="E286" s="11"/>
      <c r="F286" s="11"/>
      <c r="G286" s="11"/>
      <c r="H286" s="11"/>
      <c r="I286" s="12"/>
    </row>
    <row r="287" spans="2:9" x14ac:dyDescent="0.4">
      <c r="B287" s="5" t="s">
        <v>1</v>
      </c>
      <c r="C287" s="4" t="s">
        <v>346</v>
      </c>
      <c r="D287" s="5" t="s">
        <v>3</v>
      </c>
      <c r="E287" s="4" t="s">
        <v>325</v>
      </c>
      <c r="F287" s="5" t="s">
        <v>29</v>
      </c>
      <c r="G287" s="4" t="s">
        <v>38</v>
      </c>
      <c r="H287" s="5" t="s">
        <v>30</v>
      </c>
      <c r="I287" s="6">
        <v>46022</v>
      </c>
    </row>
    <row r="288" spans="2:9" x14ac:dyDescent="0.4">
      <c r="B288" s="5" t="s">
        <v>31</v>
      </c>
      <c r="C288" s="13" t="s">
        <v>326</v>
      </c>
      <c r="D288" s="13"/>
      <c r="E288" s="13"/>
      <c r="F288" s="13"/>
      <c r="G288" s="13"/>
      <c r="H288" s="13"/>
      <c r="I288" s="13"/>
    </row>
    <row r="289" spans="2:9" x14ac:dyDescent="0.4">
      <c r="B289" s="5" t="s">
        <v>32</v>
      </c>
      <c r="C289" s="5" t="s">
        <v>1</v>
      </c>
      <c r="D289" s="5" t="s">
        <v>3</v>
      </c>
      <c r="E289" s="5" t="s">
        <v>33</v>
      </c>
      <c r="F289" s="5" t="s">
        <v>34</v>
      </c>
      <c r="G289" s="5" t="s">
        <v>35</v>
      </c>
      <c r="H289" s="5" t="s">
        <v>22</v>
      </c>
      <c r="I289" s="5" t="s">
        <v>36</v>
      </c>
    </row>
    <row r="290" spans="2:9" x14ac:dyDescent="0.4">
      <c r="B290" s="4">
        <v>1</v>
      </c>
      <c r="C290" s="1" t="s">
        <v>329</v>
      </c>
      <c r="D290" s="1" t="s">
        <v>330</v>
      </c>
      <c r="E290" s="4" t="s">
        <v>283</v>
      </c>
      <c r="F290" s="4">
        <v>1</v>
      </c>
      <c r="G290" s="1" t="s">
        <v>40</v>
      </c>
      <c r="H290" s="1" t="s">
        <v>194</v>
      </c>
      <c r="I290" s="1" t="s">
        <v>330</v>
      </c>
    </row>
    <row r="291" spans="2:9" x14ac:dyDescent="0.4">
      <c r="B291" s="4">
        <v>2</v>
      </c>
      <c r="C291" s="1" t="s">
        <v>302</v>
      </c>
      <c r="D291" s="1" t="s">
        <v>303</v>
      </c>
      <c r="E291" s="4" t="s">
        <v>283</v>
      </c>
      <c r="F291" s="4"/>
      <c r="G291" s="1" t="s">
        <v>43</v>
      </c>
      <c r="H291" s="1"/>
      <c r="I291" s="1" t="s">
        <v>303</v>
      </c>
    </row>
    <row r="292" spans="2:9" x14ac:dyDescent="0.4">
      <c r="B292" s="4">
        <v>3</v>
      </c>
      <c r="C292" s="1" t="s">
        <v>332</v>
      </c>
      <c r="D292" s="1" t="s">
        <v>315</v>
      </c>
      <c r="E292" s="4" t="s">
        <v>173</v>
      </c>
      <c r="F292" s="4"/>
      <c r="G292" s="1" t="s">
        <v>43</v>
      </c>
      <c r="H292" s="1"/>
      <c r="I292" s="1" t="s">
        <v>331</v>
      </c>
    </row>
    <row r="293" spans="2:9" x14ac:dyDescent="0.4">
      <c r="B293" s="4">
        <v>4</v>
      </c>
      <c r="C293" s="1" t="s">
        <v>333</v>
      </c>
      <c r="D293" s="1" t="s">
        <v>334</v>
      </c>
      <c r="E293" s="4" t="s">
        <v>105</v>
      </c>
      <c r="F293" s="4"/>
      <c r="G293" s="1" t="s">
        <v>43</v>
      </c>
      <c r="H293" s="1"/>
      <c r="I293" s="1" t="s">
        <v>375</v>
      </c>
    </row>
    <row r="294" spans="2:9" x14ac:dyDescent="0.4">
      <c r="B294" s="4">
        <v>5</v>
      </c>
      <c r="C294" s="1" t="s">
        <v>335</v>
      </c>
      <c r="D294" s="1" t="s">
        <v>336</v>
      </c>
      <c r="E294" s="4" t="s">
        <v>105</v>
      </c>
      <c r="F294" s="4"/>
      <c r="G294" s="1" t="s">
        <v>43</v>
      </c>
      <c r="H294" s="1"/>
      <c r="I294" s="1" t="s">
        <v>336</v>
      </c>
    </row>
    <row r="295" spans="2:9" x14ac:dyDescent="0.4">
      <c r="B295" s="4">
        <v>6</v>
      </c>
      <c r="C295" s="1" t="s">
        <v>337</v>
      </c>
      <c r="D295" s="1" t="s">
        <v>339</v>
      </c>
      <c r="E295" s="4" t="s">
        <v>338</v>
      </c>
      <c r="F295" s="4"/>
      <c r="G295" s="1" t="s">
        <v>43</v>
      </c>
      <c r="H295" s="9"/>
      <c r="I295" s="1" t="s">
        <v>339</v>
      </c>
    </row>
    <row r="296" spans="2:9" x14ac:dyDescent="0.4">
      <c r="B296" s="4">
        <v>7</v>
      </c>
      <c r="C296" s="1" t="s">
        <v>340</v>
      </c>
      <c r="D296" s="1" t="s">
        <v>342</v>
      </c>
      <c r="E296" s="4" t="s">
        <v>49</v>
      </c>
      <c r="F296" s="4"/>
      <c r="G296" s="1" t="s">
        <v>43</v>
      </c>
      <c r="H296" s="7"/>
      <c r="I296" s="1" t="s">
        <v>342</v>
      </c>
    </row>
    <row r="297" spans="2:9" x14ac:dyDescent="0.4">
      <c r="B297" s="4">
        <v>8</v>
      </c>
      <c r="C297" s="1" t="s">
        <v>341</v>
      </c>
      <c r="D297" s="1" t="s">
        <v>343</v>
      </c>
      <c r="E297" s="4" t="s">
        <v>49</v>
      </c>
      <c r="F297" s="4"/>
      <c r="G297" s="1" t="s">
        <v>43</v>
      </c>
      <c r="H297" s="7"/>
      <c r="I297" s="1" t="s">
        <v>343</v>
      </c>
    </row>
    <row r="298" spans="2:9" x14ac:dyDescent="0.4">
      <c r="B298" s="4">
        <v>9</v>
      </c>
      <c r="C298" s="1" t="s">
        <v>344</v>
      </c>
      <c r="D298" s="1" t="s">
        <v>345</v>
      </c>
      <c r="E298" s="4" t="s">
        <v>173</v>
      </c>
      <c r="F298" s="4"/>
      <c r="G298" s="1" t="s">
        <v>43</v>
      </c>
      <c r="H298" s="7"/>
      <c r="I298" s="1" t="s">
        <v>345</v>
      </c>
    </row>
    <row r="299" spans="2:9" x14ac:dyDescent="0.4">
      <c r="B299" s="4">
        <v>10</v>
      </c>
      <c r="C299" s="1" t="s">
        <v>195</v>
      </c>
      <c r="D299" s="1" t="s">
        <v>215</v>
      </c>
      <c r="E299" s="4" t="s">
        <v>173</v>
      </c>
      <c r="F299" s="4"/>
      <c r="G299" s="1" t="s">
        <v>40</v>
      </c>
      <c r="H299" s="1" t="s">
        <v>58</v>
      </c>
      <c r="I299" s="1" t="s">
        <v>197</v>
      </c>
    </row>
    <row r="300" spans="2:9" x14ac:dyDescent="0.4">
      <c r="B300" s="4">
        <v>11</v>
      </c>
      <c r="C300" s="1" t="s">
        <v>50</v>
      </c>
      <c r="D300" s="1" t="s">
        <v>55</v>
      </c>
      <c r="E300" s="4" t="s">
        <v>49</v>
      </c>
      <c r="F300" s="4"/>
      <c r="G300" s="1" t="s">
        <v>40</v>
      </c>
      <c r="H300" s="1" t="s">
        <v>59</v>
      </c>
      <c r="I300" s="1" t="s">
        <v>55</v>
      </c>
    </row>
    <row r="301" spans="2:9" x14ac:dyDescent="0.4">
      <c r="B301" s="4">
        <v>12</v>
      </c>
      <c r="C301" s="1" t="s">
        <v>241</v>
      </c>
      <c r="D301" s="1" t="s">
        <v>198</v>
      </c>
      <c r="E301" s="4" t="s">
        <v>173</v>
      </c>
      <c r="F301" s="4"/>
      <c r="G301" s="1" t="s">
        <v>40</v>
      </c>
      <c r="H301" s="1" t="s">
        <v>58</v>
      </c>
      <c r="I301" s="1" t="s">
        <v>198</v>
      </c>
    </row>
    <row r="302" spans="2:9" x14ac:dyDescent="0.4">
      <c r="B302" s="4">
        <v>13</v>
      </c>
      <c r="C302" s="1" t="s">
        <v>239</v>
      </c>
      <c r="D302" s="1" t="s">
        <v>56</v>
      </c>
      <c r="E302" s="4" t="s">
        <v>49</v>
      </c>
      <c r="F302" s="4"/>
      <c r="G302" s="1" t="s">
        <v>40</v>
      </c>
      <c r="H302" s="1" t="s">
        <v>59</v>
      </c>
      <c r="I302" s="1" t="s">
        <v>56</v>
      </c>
    </row>
    <row r="303" spans="2:9" x14ac:dyDescent="0.4">
      <c r="F303" s="3"/>
    </row>
    <row r="304" spans="2:9" x14ac:dyDescent="0.4">
      <c r="B304" s="10" t="s">
        <v>28</v>
      </c>
      <c r="C304" s="11"/>
      <c r="D304" s="11"/>
      <c r="E304" s="11"/>
      <c r="F304" s="11"/>
      <c r="G304" s="11"/>
      <c r="H304" s="11"/>
      <c r="I304" s="12"/>
    </row>
    <row r="305" spans="2:9" x14ac:dyDescent="0.4">
      <c r="B305" s="5" t="s">
        <v>1</v>
      </c>
      <c r="C305" s="4" t="s">
        <v>347</v>
      </c>
      <c r="D305" s="5" t="s">
        <v>3</v>
      </c>
      <c r="E305" s="4" t="s">
        <v>348</v>
      </c>
      <c r="F305" s="5" t="s">
        <v>29</v>
      </c>
      <c r="G305" s="4" t="s">
        <v>38</v>
      </c>
      <c r="H305" s="5" t="s">
        <v>30</v>
      </c>
      <c r="I305" s="6">
        <v>46022</v>
      </c>
    </row>
    <row r="306" spans="2:9" x14ac:dyDescent="0.4">
      <c r="B306" s="5" t="s">
        <v>31</v>
      </c>
      <c r="C306" s="13" t="s">
        <v>349</v>
      </c>
      <c r="D306" s="13"/>
      <c r="E306" s="13"/>
      <c r="F306" s="13"/>
      <c r="G306" s="13"/>
      <c r="H306" s="13"/>
      <c r="I306" s="13"/>
    </row>
    <row r="307" spans="2:9" x14ac:dyDescent="0.4">
      <c r="B307" s="5" t="s">
        <v>32</v>
      </c>
      <c r="C307" s="5" t="s">
        <v>1</v>
      </c>
      <c r="D307" s="5" t="s">
        <v>3</v>
      </c>
      <c r="E307" s="5" t="s">
        <v>33</v>
      </c>
      <c r="F307" s="5" t="s">
        <v>34</v>
      </c>
      <c r="G307" s="5" t="s">
        <v>35</v>
      </c>
      <c r="H307" s="5" t="s">
        <v>22</v>
      </c>
      <c r="I307" s="5" t="s">
        <v>36</v>
      </c>
    </row>
    <row r="308" spans="2:9" x14ac:dyDescent="0.4">
      <c r="B308" s="4">
        <v>1</v>
      </c>
      <c r="C308" s="1" t="s">
        <v>350</v>
      </c>
      <c r="D308" s="1" t="s">
        <v>351</v>
      </c>
      <c r="E308" s="4" t="s">
        <v>283</v>
      </c>
      <c r="F308" s="4">
        <v>1</v>
      </c>
      <c r="G308" s="1" t="s">
        <v>40</v>
      </c>
      <c r="H308" s="1" t="s">
        <v>194</v>
      </c>
      <c r="I308" s="1" t="s">
        <v>351</v>
      </c>
    </row>
    <row r="309" spans="2:9" x14ac:dyDescent="0.4">
      <c r="B309" s="4">
        <v>2</v>
      </c>
      <c r="C309" s="1" t="s">
        <v>329</v>
      </c>
      <c r="D309" s="1" t="s">
        <v>330</v>
      </c>
      <c r="E309" s="4" t="s">
        <v>283</v>
      </c>
      <c r="F309" s="4"/>
      <c r="G309" s="1" t="s">
        <v>43</v>
      </c>
      <c r="H309" s="1"/>
      <c r="I309" s="1" t="s">
        <v>330</v>
      </c>
    </row>
    <row r="310" spans="2:9" x14ac:dyDescent="0.4">
      <c r="B310" s="4">
        <v>3</v>
      </c>
      <c r="C310" s="1" t="s">
        <v>352</v>
      </c>
      <c r="D310" s="1" t="s">
        <v>353</v>
      </c>
      <c r="E310" s="4" t="s">
        <v>338</v>
      </c>
      <c r="F310" s="4"/>
      <c r="G310" s="1" t="s">
        <v>43</v>
      </c>
      <c r="H310" s="1"/>
      <c r="I310" s="1" t="s">
        <v>355</v>
      </c>
    </row>
    <row r="311" spans="2:9" x14ac:dyDescent="0.4">
      <c r="B311" s="4">
        <v>4</v>
      </c>
      <c r="C311" s="1" t="s">
        <v>354</v>
      </c>
      <c r="D311" s="1" t="s">
        <v>357</v>
      </c>
      <c r="E311" s="4" t="s">
        <v>173</v>
      </c>
      <c r="F311" s="4"/>
      <c r="G311" s="1" t="s">
        <v>43</v>
      </c>
      <c r="H311" s="1"/>
      <c r="I311" s="1" t="s">
        <v>357</v>
      </c>
    </row>
    <row r="312" spans="2:9" x14ac:dyDescent="0.4">
      <c r="B312" s="4">
        <v>5</v>
      </c>
      <c r="C312" s="1" t="s">
        <v>356</v>
      </c>
      <c r="D312" s="1" t="s">
        <v>358</v>
      </c>
      <c r="E312" s="4" t="s">
        <v>173</v>
      </c>
      <c r="F312" s="4"/>
      <c r="G312" s="1" t="s">
        <v>43</v>
      </c>
      <c r="H312" s="1"/>
      <c r="I312" s="1" t="s">
        <v>358</v>
      </c>
    </row>
    <row r="313" spans="2:9" x14ac:dyDescent="0.4">
      <c r="B313" s="4">
        <v>6</v>
      </c>
      <c r="C313" s="1" t="s">
        <v>359</v>
      </c>
      <c r="D313" s="1" t="s">
        <v>360</v>
      </c>
      <c r="E313" s="4" t="s">
        <v>169</v>
      </c>
      <c r="F313" s="4"/>
      <c r="G313" s="1" t="s">
        <v>43</v>
      </c>
      <c r="H313" s="7" t="s">
        <v>214</v>
      </c>
      <c r="I313" s="1" t="s">
        <v>360</v>
      </c>
    </row>
    <row r="314" spans="2:9" x14ac:dyDescent="0.4">
      <c r="B314" s="4">
        <v>7</v>
      </c>
      <c r="C314" s="1" t="s">
        <v>317</v>
      </c>
      <c r="D314" s="1" t="s">
        <v>319</v>
      </c>
      <c r="E314" s="4" t="s">
        <v>308</v>
      </c>
      <c r="F314" s="4"/>
      <c r="G314" s="1" t="s">
        <v>43</v>
      </c>
      <c r="H314" s="7"/>
      <c r="I314" s="1" t="s">
        <v>319</v>
      </c>
    </row>
    <row r="315" spans="2:9" x14ac:dyDescent="0.4">
      <c r="B315" s="4">
        <v>8</v>
      </c>
      <c r="C315" s="1" t="s">
        <v>195</v>
      </c>
      <c r="D315" s="1" t="s">
        <v>215</v>
      </c>
      <c r="E315" s="4" t="s">
        <v>173</v>
      </c>
      <c r="F315" s="4"/>
      <c r="G315" s="1" t="s">
        <v>40</v>
      </c>
      <c r="H315" s="1" t="s">
        <v>58</v>
      </c>
      <c r="I315" s="1" t="s">
        <v>197</v>
      </c>
    </row>
    <row r="316" spans="2:9" x14ac:dyDescent="0.4">
      <c r="B316" s="4">
        <v>9</v>
      </c>
      <c r="C316" s="1" t="s">
        <v>50</v>
      </c>
      <c r="D316" s="1" t="s">
        <v>55</v>
      </c>
      <c r="E316" s="4" t="s">
        <v>49</v>
      </c>
      <c r="F316" s="4"/>
      <c r="G316" s="1" t="s">
        <v>40</v>
      </c>
      <c r="H316" s="1" t="s">
        <v>59</v>
      </c>
      <c r="I316" s="1" t="s">
        <v>55</v>
      </c>
    </row>
    <row r="317" spans="2:9" x14ac:dyDescent="0.4">
      <c r="B317" s="4">
        <v>10</v>
      </c>
      <c r="C317" s="1" t="s">
        <v>241</v>
      </c>
      <c r="D317" s="1" t="s">
        <v>198</v>
      </c>
      <c r="E317" s="4" t="s">
        <v>173</v>
      </c>
      <c r="F317" s="4"/>
      <c r="G317" s="1" t="s">
        <v>40</v>
      </c>
      <c r="H317" s="1" t="s">
        <v>58</v>
      </c>
      <c r="I317" s="1" t="s">
        <v>198</v>
      </c>
    </row>
    <row r="318" spans="2:9" x14ac:dyDescent="0.4">
      <c r="B318" s="4">
        <v>11</v>
      </c>
      <c r="C318" s="1" t="s">
        <v>239</v>
      </c>
      <c r="D318" s="1" t="s">
        <v>56</v>
      </c>
      <c r="E318" s="4" t="s">
        <v>49</v>
      </c>
      <c r="F318" s="4"/>
      <c r="G318" s="1" t="s">
        <v>40</v>
      </c>
      <c r="H318" s="1" t="s">
        <v>59</v>
      </c>
      <c r="I318" s="1" t="s">
        <v>56</v>
      </c>
    </row>
    <row r="319" spans="2:9" x14ac:dyDescent="0.4">
      <c r="B319" s="16"/>
      <c r="C319" s="17"/>
      <c r="D319" s="17"/>
      <c r="E319" s="16"/>
      <c r="F319" s="16"/>
      <c r="G319" s="17"/>
      <c r="H319" s="17"/>
      <c r="I319" s="17"/>
    </row>
    <row r="320" spans="2:9" x14ac:dyDescent="0.4">
      <c r="B320" s="16"/>
      <c r="C320" s="17"/>
      <c r="D320" s="17"/>
      <c r="E320" s="16"/>
      <c r="F320" s="16"/>
      <c r="G320" s="17"/>
      <c r="H320" s="17"/>
      <c r="I320" s="17"/>
    </row>
    <row r="321" spans="2:9" x14ac:dyDescent="0.4">
      <c r="F321" s="3"/>
    </row>
    <row r="322" spans="2:9" x14ac:dyDescent="0.4">
      <c r="B322" s="10" t="s">
        <v>28</v>
      </c>
      <c r="C322" s="11"/>
      <c r="D322" s="11"/>
      <c r="E322" s="11"/>
      <c r="F322" s="11"/>
      <c r="G322" s="11"/>
      <c r="H322" s="11"/>
      <c r="I322" s="12"/>
    </row>
    <row r="323" spans="2:9" x14ac:dyDescent="0.4">
      <c r="B323" s="5" t="s">
        <v>1</v>
      </c>
      <c r="C323" s="4" t="s">
        <v>361</v>
      </c>
      <c r="D323" s="5" t="s">
        <v>3</v>
      </c>
      <c r="E323" s="4" t="s">
        <v>362</v>
      </c>
      <c r="F323" s="5" t="s">
        <v>29</v>
      </c>
      <c r="G323" s="4" t="s">
        <v>38</v>
      </c>
      <c r="H323" s="5" t="s">
        <v>30</v>
      </c>
      <c r="I323" s="6">
        <v>46022</v>
      </c>
    </row>
    <row r="324" spans="2:9" x14ac:dyDescent="0.4">
      <c r="B324" s="5" t="s">
        <v>31</v>
      </c>
      <c r="C324" s="13" t="s">
        <v>363</v>
      </c>
      <c r="D324" s="13"/>
      <c r="E324" s="13"/>
      <c r="F324" s="13"/>
      <c r="G324" s="13"/>
      <c r="H324" s="13"/>
      <c r="I324" s="13"/>
    </row>
    <row r="325" spans="2:9" x14ac:dyDescent="0.4">
      <c r="B325" s="5" t="s">
        <v>32</v>
      </c>
      <c r="C325" s="5" t="s">
        <v>1</v>
      </c>
      <c r="D325" s="5" t="s">
        <v>3</v>
      </c>
      <c r="E325" s="5" t="s">
        <v>33</v>
      </c>
      <c r="F325" s="5" t="s">
        <v>34</v>
      </c>
      <c r="G325" s="5" t="s">
        <v>35</v>
      </c>
      <c r="H325" s="5" t="s">
        <v>22</v>
      </c>
      <c r="I325" s="5" t="s">
        <v>36</v>
      </c>
    </row>
    <row r="326" spans="2:9" x14ac:dyDescent="0.4">
      <c r="B326" s="4">
        <v>1</v>
      </c>
      <c r="C326" s="1" t="s">
        <v>364</v>
      </c>
      <c r="D326" s="1" t="s">
        <v>365</v>
      </c>
      <c r="E326" s="4" t="s">
        <v>283</v>
      </c>
      <c r="F326" s="4">
        <v>1</v>
      </c>
      <c r="G326" s="1" t="s">
        <v>40</v>
      </c>
      <c r="H326" s="1" t="s">
        <v>194</v>
      </c>
      <c r="I326" s="1" t="s">
        <v>365</v>
      </c>
    </row>
    <row r="327" spans="2:9" x14ac:dyDescent="0.4">
      <c r="B327" s="4">
        <v>2</v>
      </c>
      <c r="C327" s="1" t="s">
        <v>302</v>
      </c>
      <c r="D327" s="1" t="s">
        <v>303</v>
      </c>
      <c r="E327" s="4" t="s">
        <v>283</v>
      </c>
      <c r="F327" s="4"/>
      <c r="G327" s="1" t="s">
        <v>43</v>
      </c>
      <c r="H327" s="1"/>
      <c r="I327" s="1" t="s">
        <v>303</v>
      </c>
    </row>
    <row r="328" spans="2:9" x14ac:dyDescent="0.4">
      <c r="B328" s="4">
        <v>3</v>
      </c>
      <c r="C328" s="1" t="s">
        <v>366</v>
      </c>
      <c r="D328" s="1" t="s">
        <v>367</v>
      </c>
      <c r="E328" s="4" t="s">
        <v>173</v>
      </c>
      <c r="F328" s="4"/>
      <c r="G328" s="1" t="s">
        <v>43</v>
      </c>
      <c r="H328" s="1"/>
      <c r="I328" s="1" t="s">
        <v>368</v>
      </c>
    </row>
    <row r="329" spans="2:9" x14ac:dyDescent="0.4">
      <c r="B329" s="4">
        <v>4</v>
      </c>
      <c r="C329" s="1" t="s">
        <v>369</v>
      </c>
      <c r="D329" s="1" t="s">
        <v>370</v>
      </c>
      <c r="E329" s="4" t="s">
        <v>25</v>
      </c>
      <c r="F329" s="4"/>
      <c r="G329" s="1" t="s">
        <v>43</v>
      </c>
      <c r="H329" s="1"/>
      <c r="I329" s="1" t="s">
        <v>371</v>
      </c>
    </row>
    <row r="330" spans="2:9" x14ac:dyDescent="0.4">
      <c r="B330" s="4">
        <v>5</v>
      </c>
      <c r="C330" s="1" t="s">
        <v>372</v>
      </c>
      <c r="D330" s="1" t="s">
        <v>373</v>
      </c>
      <c r="E330" s="4" t="s">
        <v>46</v>
      </c>
      <c r="F330" s="4"/>
      <c r="G330" s="1" t="s">
        <v>43</v>
      </c>
      <c r="H330" s="1"/>
      <c r="I330" s="1" t="s">
        <v>374</v>
      </c>
    </row>
    <row r="331" spans="2:9" x14ac:dyDescent="0.4">
      <c r="B331" s="4">
        <v>6</v>
      </c>
      <c r="C331" s="1" t="s">
        <v>335</v>
      </c>
      <c r="D331" s="1" t="s">
        <v>336</v>
      </c>
      <c r="E331" s="4" t="s">
        <v>105</v>
      </c>
      <c r="F331" s="4"/>
      <c r="G331" s="1" t="s">
        <v>43</v>
      </c>
      <c r="H331" s="1"/>
      <c r="I331" s="1" t="s">
        <v>336</v>
      </c>
    </row>
    <row r="332" spans="2:9" x14ac:dyDescent="0.4">
      <c r="B332" s="4">
        <v>7</v>
      </c>
      <c r="C332" s="1" t="s">
        <v>333</v>
      </c>
      <c r="D332" s="1" t="s">
        <v>334</v>
      </c>
      <c r="E332" s="4" t="s">
        <v>105</v>
      </c>
      <c r="F332" s="4"/>
      <c r="G332" s="1" t="s">
        <v>43</v>
      </c>
      <c r="H332" s="1"/>
      <c r="I332" s="1" t="s">
        <v>375</v>
      </c>
    </row>
    <row r="333" spans="2:9" x14ac:dyDescent="0.4">
      <c r="B333" s="4">
        <v>8</v>
      </c>
      <c r="C333" s="1" t="s">
        <v>376</v>
      </c>
      <c r="D333" s="1" t="s">
        <v>378</v>
      </c>
      <c r="E333" s="4" t="s">
        <v>313</v>
      </c>
      <c r="F333" s="4"/>
      <c r="G333" s="1" t="s">
        <v>43</v>
      </c>
      <c r="H333" s="7"/>
      <c r="I333" s="1" t="s">
        <v>378</v>
      </c>
    </row>
    <row r="334" spans="2:9" x14ac:dyDescent="0.4">
      <c r="B334" s="4">
        <v>9</v>
      </c>
      <c r="C334" s="1" t="s">
        <v>377</v>
      </c>
      <c r="D334" s="1" t="s">
        <v>379</v>
      </c>
      <c r="E334" s="4" t="s">
        <v>338</v>
      </c>
      <c r="F334" s="4"/>
      <c r="G334" s="1" t="s">
        <v>43</v>
      </c>
      <c r="H334" s="7"/>
      <c r="I334" s="1" t="s">
        <v>380</v>
      </c>
    </row>
    <row r="335" spans="2:9" x14ac:dyDescent="0.4">
      <c r="B335" s="4">
        <v>10</v>
      </c>
      <c r="C335" s="1" t="s">
        <v>195</v>
      </c>
      <c r="D335" s="1" t="s">
        <v>215</v>
      </c>
      <c r="E335" s="4" t="s">
        <v>173</v>
      </c>
      <c r="F335" s="4"/>
      <c r="G335" s="1" t="s">
        <v>40</v>
      </c>
      <c r="H335" s="1" t="s">
        <v>58</v>
      </c>
      <c r="I335" s="1" t="s">
        <v>197</v>
      </c>
    </row>
    <row r="336" spans="2:9" x14ac:dyDescent="0.4">
      <c r="B336" s="4">
        <v>11</v>
      </c>
      <c r="C336" s="1" t="s">
        <v>50</v>
      </c>
      <c r="D336" s="1" t="s">
        <v>55</v>
      </c>
      <c r="E336" s="4" t="s">
        <v>49</v>
      </c>
      <c r="F336" s="4"/>
      <c r="G336" s="1" t="s">
        <v>40</v>
      </c>
      <c r="H336" s="1" t="s">
        <v>59</v>
      </c>
      <c r="I336" s="1" t="s">
        <v>55</v>
      </c>
    </row>
    <row r="337" spans="2:9" x14ac:dyDescent="0.4">
      <c r="B337" s="4">
        <v>12</v>
      </c>
      <c r="C337" s="1" t="s">
        <v>241</v>
      </c>
      <c r="D337" s="1" t="s">
        <v>198</v>
      </c>
      <c r="E337" s="4" t="s">
        <v>173</v>
      </c>
      <c r="F337" s="4"/>
      <c r="G337" s="1" t="s">
        <v>40</v>
      </c>
      <c r="H337" s="1" t="s">
        <v>58</v>
      </c>
      <c r="I337" s="1" t="s">
        <v>198</v>
      </c>
    </row>
    <row r="338" spans="2:9" x14ac:dyDescent="0.4">
      <c r="B338" s="4">
        <v>13</v>
      </c>
      <c r="C338" s="1" t="s">
        <v>239</v>
      </c>
      <c r="D338" s="1" t="s">
        <v>56</v>
      </c>
      <c r="E338" s="4" t="s">
        <v>49</v>
      </c>
      <c r="F338" s="4"/>
      <c r="G338" s="1" t="s">
        <v>40</v>
      </c>
      <c r="H338" s="1" t="s">
        <v>59</v>
      </c>
      <c r="I338" s="1" t="s">
        <v>56</v>
      </c>
    </row>
    <row r="339" spans="2:9" x14ac:dyDescent="0.4">
      <c r="F339" s="3"/>
    </row>
    <row r="340" spans="2:9" x14ac:dyDescent="0.4">
      <c r="B340" s="10" t="s">
        <v>28</v>
      </c>
      <c r="C340" s="11"/>
      <c r="D340" s="11"/>
      <c r="E340" s="11"/>
      <c r="F340" s="11"/>
      <c r="G340" s="11"/>
      <c r="H340" s="11"/>
      <c r="I340" s="12"/>
    </row>
    <row r="341" spans="2:9" x14ac:dyDescent="0.4">
      <c r="B341" s="5" t="s">
        <v>1</v>
      </c>
      <c r="C341" s="4" t="s">
        <v>387</v>
      </c>
      <c r="D341" s="5" t="s">
        <v>3</v>
      </c>
      <c r="E341" s="4" t="s">
        <v>388</v>
      </c>
      <c r="F341" s="5" t="s">
        <v>29</v>
      </c>
      <c r="G341" s="4" t="s">
        <v>38</v>
      </c>
      <c r="H341" s="5" t="s">
        <v>30</v>
      </c>
      <c r="I341" s="6">
        <v>46022</v>
      </c>
    </row>
    <row r="342" spans="2:9" x14ac:dyDescent="0.4">
      <c r="B342" s="5" t="s">
        <v>31</v>
      </c>
      <c r="C342" s="13" t="s">
        <v>389</v>
      </c>
      <c r="D342" s="13"/>
      <c r="E342" s="13"/>
      <c r="F342" s="13"/>
      <c r="G342" s="13"/>
      <c r="H342" s="13"/>
      <c r="I342" s="13"/>
    </row>
    <row r="343" spans="2:9" x14ac:dyDescent="0.4">
      <c r="B343" s="5" t="s">
        <v>32</v>
      </c>
      <c r="C343" s="5" t="s">
        <v>1</v>
      </c>
      <c r="D343" s="5" t="s">
        <v>3</v>
      </c>
      <c r="E343" s="5" t="s">
        <v>33</v>
      </c>
      <c r="F343" s="5" t="s">
        <v>34</v>
      </c>
      <c r="G343" s="5" t="s">
        <v>35</v>
      </c>
      <c r="H343" s="5" t="s">
        <v>22</v>
      </c>
      <c r="I343" s="5" t="s">
        <v>36</v>
      </c>
    </row>
    <row r="344" spans="2:9" x14ac:dyDescent="0.4">
      <c r="B344" s="4">
        <v>1</v>
      </c>
      <c r="C344" s="1" t="s">
        <v>390</v>
      </c>
      <c r="D344" s="1" t="s">
        <v>391</v>
      </c>
      <c r="E344" s="4" t="s">
        <v>283</v>
      </c>
      <c r="F344" s="4">
        <v>1</v>
      </c>
      <c r="G344" s="1" t="s">
        <v>40</v>
      </c>
      <c r="H344" s="1" t="s">
        <v>194</v>
      </c>
      <c r="I344" s="1" t="s">
        <v>391</v>
      </c>
    </row>
    <row r="345" spans="2:9" x14ac:dyDescent="0.4">
      <c r="B345" s="4">
        <v>2</v>
      </c>
      <c r="C345" s="1" t="s">
        <v>392</v>
      </c>
      <c r="D345" s="1" t="s">
        <v>393</v>
      </c>
      <c r="E345" s="4" t="s">
        <v>151</v>
      </c>
      <c r="F345" s="4"/>
      <c r="G345" s="1" t="s">
        <v>43</v>
      </c>
      <c r="H345" s="1"/>
      <c r="I345" s="1" t="s">
        <v>393</v>
      </c>
    </row>
    <row r="346" spans="2:9" x14ac:dyDescent="0.4">
      <c r="B346" s="4">
        <v>3</v>
      </c>
      <c r="C346" s="1" t="s">
        <v>395</v>
      </c>
      <c r="D346" s="1" t="s">
        <v>394</v>
      </c>
      <c r="E346" s="4" t="s">
        <v>308</v>
      </c>
      <c r="F346" s="4"/>
      <c r="G346" s="1" t="s">
        <v>43</v>
      </c>
      <c r="H346" s="1"/>
      <c r="I346" s="1" t="s">
        <v>394</v>
      </c>
    </row>
    <row r="347" spans="2:9" x14ac:dyDescent="0.4">
      <c r="B347" s="4">
        <v>4</v>
      </c>
      <c r="C347" s="1" t="s">
        <v>396</v>
      </c>
      <c r="D347" s="1" t="s">
        <v>397</v>
      </c>
      <c r="E347" s="4" t="s">
        <v>398</v>
      </c>
      <c r="F347" s="4"/>
      <c r="G347" s="1" t="s">
        <v>43</v>
      </c>
      <c r="H347" s="1"/>
      <c r="I347" s="1" t="s">
        <v>399</v>
      </c>
    </row>
    <row r="348" spans="2:9" x14ac:dyDescent="0.4">
      <c r="B348" s="4">
        <v>5</v>
      </c>
      <c r="C348" s="1" t="s">
        <v>167</v>
      </c>
      <c r="D348" s="1" t="s">
        <v>168</v>
      </c>
      <c r="E348" s="4" t="s">
        <v>169</v>
      </c>
      <c r="F348" s="4"/>
      <c r="G348" s="1" t="s">
        <v>43</v>
      </c>
      <c r="H348" s="7" t="s">
        <v>170</v>
      </c>
      <c r="I348" s="1" t="s">
        <v>168</v>
      </c>
    </row>
    <row r="349" spans="2:9" x14ac:dyDescent="0.4">
      <c r="B349" s="4">
        <v>6</v>
      </c>
      <c r="C349" s="1" t="s">
        <v>195</v>
      </c>
      <c r="D349" s="1" t="s">
        <v>215</v>
      </c>
      <c r="E349" s="4" t="s">
        <v>173</v>
      </c>
      <c r="F349" s="4"/>
      <c r="G349" s="1" t="s">
        <v>40</v>
      </c>
      <c r="H349" s="1" t="s">
        <v>58</v>
      </c>
      <c r="I349" s="1" t="s">
        <v>197</v>
      </c>
    </row>
    <row r="350" spans="2:9" x14ac:dyDescent="0.4">
      <c r="B350" s="4">
        <v>7</v>
      </c>
      <c r="C350" s="1" t="s">
        <v>50</v>
      </c>
      <c r="D350" s="1" t="s">
        <v>55</v>
      </c>
      <c r="E350" s="4" t="s">
        <v>49</v>
      </c>
      <c r="F350" s="4"/>
      <c r="G350" s="1" t="s">
        <v>40</v>
      </c>
      <c r="H350" s="1" t="s">
        <v>59</v>
      </c>
      <c r="I350" s="1" t="s">
        <v>55</v>
      </c>
    </row>
    <row r="351" spans="2:9" x14ac:dyDescent="0.4">
      <c r="B351" s="4">
        <v>8</v>
      </c>
      <c r="C351" s="1" t="s">
        <v>241</v>
      </c>
      <c r="D351" s="1" t="s">
        <v>198</v>
      </c>
      <c r="E351" s="4" t="s">
        <v>173</v>
      </c>
      <c r="F351" s="4"/>
      <c r="G351" s="1" t="s">
        <v>40</v>
      </c>
      <c r="H351" s="1" t="s">
        <v>58</v>
      </c>
      <c r="I351" s="1" t="s">
        <v>198</v>
      </c>
    </row>
    <row r="352" spans="2:9" x14ac:dyDescent="0.4">
      <c r="B352" s="4">
        <v>9</v>
      </c>
      <c r="C352" s="1" t="s">
        <v>239</v>
      </c>
      <c r="D352" s="1" t="s">
        <v>56</v>
      </c>
      <c r="E352" s="4" t="s">
        <v>49</v>
      </c>
      <c r="F352" s="4"/>
      <c r="G352" s="1" t="s">
        <v>40</v>
      </c>
      <c r="H352" s="1" t="s">
        <v>59</v>
      </c>
      <c r="I352" s="1" t="s">
        <v>56</v>
      </c>
    </row>
  </sheetData>
  <mergeCells count="72">
    <mergeCell ref="B304:I304"/>
    <mergeCell ref="C306:I306"/>
    <mergeCell ref="B322:I322"/>
    <mergeCell ref="C324:I324"/>
    <mergeCell ref="B340:I340"/>
    <mergeCell ref="C342:I342"/>
    <mergeCell ref="B251:I251"/>
    <mergeCell ref="C253:I253"/>
    <mergeCell ref="B265:I265"/>
    <mergeCell ref="C267:I267"/>
    <mergeCell ref="B286:I286"/>
    <mergeCell ref="C288:I288"/>
    <mergeCell ref="C203:E203"/>
    <mergeCell ref="F203:I203"/>
    <mergeCell ref="B215:I215"/>
    <mergeCell ref="C217:I217"/>
    <mergeCell ref="B232:I232"/>
    <mergeCell ref="C234:I234"/>
    <mergeCell ref="C172:I172"/>
    <mergeCell ref="B189:I189"/>
    <mergeCell ref="C191:I191"/>
    <mergeCell ref="C201:E201"/>
    <mergeCell ref="F201:I201"/>
    <mergeCell ref="C202:E202"/>
    <mergeCell ref="F202:I202"/>
    <mergeCell ref="C167:E167"/>
    <mergeCell ref="F167:I167"/>
    <mergeCell ref="C168:E168"/>
    <mergeCell ref="F168:I168"/>
    <mergeCell ref="B170:I170"/>
    <mergeCell ref="C150:E150"/>
    <mergeCell ref="F150:I150"/>
    <mergeCell ref="C151:E151"/>
    <mergeCell ref="F151:I151"/>
    <mergeCell ref="B153:I153"/>
    <mergeCell ref="C155:I155"/>
    <mergeCell ref="C134:E134"/>
    <mergeCell ref="F134:I134"/>
    <mergeCell ref="B136:I136"/>
    <mergeCell ref="C138:I138"/>
    <mergeCell ref="C149:E149"/>
    <mergeCell ref="F149:I149"/>
    <mergeCell ref="B121:I121"/>
    <mergeCell ref="C123:I123"/>
    <mergeCell ref="C132:E132"/>
    <mergeCell ref="F132:I132"/>
    <mergeCell ref="C133:E133"/>
    <mergeCell ref="F133:I133"/>
    <mergeCell ref="B68:I68"/>
    <mergeCell ref="C70:I70"/>
    <mergeCell ref="B80:I80"/>
    <mergeCell ref="C82:I82"/>
    <mergeCell ref="B108:I108"/>
    <mergeCell ref="C110:I110"/>
    <mergeCell ref="C54:E54"/>
    <mergeCell ref="F54:I54"/>
    <mergeCell ref="C55:E55"/>
    <mergeCell ref="F55:I55"/>
    <mergeCell ref="B57:I57"/>
    <mergeCell ref="C59:I59"/>
    <mergeCell ref="C37:E37"/>
    <mergeCell ref="F37:I37"/>
    <mergeCell ref="B39:I39"/>
    <mergeCell ref="C41:I41"/>
    <mergeCell ref="C53:E53"/>
    <mergeCell ref="F53:I53"/>
    <mergeCell ref="B2:I2"/>
    <mergeCell ref="C4:I4"/>
    <mergeCell ref="B24:I24"/>
    <mergeCell ref="C26:I26"/>
    <mergeCell ref="C36:E36"/>
    <mergeCell ref="F36:I36"/>
  </mergeCells>
  <phoneticPr fontId="1" type="noConversion"/>
  <pageMargins left="0.7" right="0.7" top="0.75" bottom="0.75" header="0.3" footer="0.3"/>
  <pageSetup paperSize="9"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개정이력</vt:lpstr>
      <vt:lpstr>테이블 정의_공통</vt:lpstr>
      <vt:lpstr>테이블 정의_비즈니스</vt:lpstr>
      <vt:lpstr>용어 사전</vt:lpstr>
      <vt:lpstr>PDF추출시트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KimSangMin</dc:creator>
  <cp:lastModifiedBy>상민 김</cp:lastModifiedBy>
  <cp:lastPrinted>2026-02-01T23:26:24Z</cp:lastPrinted>
  <dcterms:created xsi:type="dcterms:W3CDTF">2023-01-12T01:27:32Z</dcterms:created>
  <dcterms:modified xsi:type="dcterms:W3CDTF">2026-02-01T23:27:02Z</dcterms:modified>
</cp:coreProperties>
</file>